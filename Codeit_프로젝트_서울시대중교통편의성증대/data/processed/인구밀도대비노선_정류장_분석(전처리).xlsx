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uwba\Desktop\과제\프로젝트미션\초급 프로젝트\데이터 수집\"/>
    </mc:Choice>
  </mc:AlternateContent>
  <xr:revisionPtr revIDLastSave="0" documentId="13_ncr:1_{76426DB7-C866-4246-A1ED-3042CEF95999}" xr6:coauthVersionLast="47" xr6:coauthVersionMax="47" xr10:uidLastSave="{00000000-0000-0000-0000-000000000000}"/>
  <bookViews>
    <workbookView xWindow="32484" yWindow="1764" windowWidth="14412" windowHeight="10668" tabRatio="500" xr2:uid="{00000000-000D-0000-FFFF-FFFF00000000}"/>
  </bookViews>
  <sheets>
    <sheet name="기본데이터" sheetId="1" r:id="rId1"/>
    <sheet name="인구밀집도대비노선수" sheetId="2" r:id="rId2"/>
    <sheet name="인구밀집도대비정류장수" sheetId="3" r:id="rId3"/>
    <sheet name="Sheet4" sheetId="4" r:id="rId4"/>
  </sheets>
  <definedNames>
    <definedName name="_xlnm._FilterDatabase" localSheetId="3" hidden="1">Sheet4!$W$1:$X$26</definedName>
    <definedName name="_xlnm._FilterDatabase" localSheetId="0" hidden="1">기본데이터!$A$2:$F$2</definedName>
    <definedName name="_xlnm._FilterDatabase" localSheetId="1" hidden="1">인구밀집도대비노선수!$A$2:$E$27</definedName>
    <definedName name="_xlnm._FilterDatabase" localSheetId="2" hidden="1">인구밀집도대비정류장수!$A$2:$E$27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3" l="1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F4" i="1"/>
  <c r="E4" i="1"/>
  <c r="F20" i="1"/>
  <c r="E20" i="1"/>
  <c r="F3" i="1"/>
  <c r="E3" i="1"/>
  <c r="F17" i="1"/>
  <c r="E17" i="1"/>
  <c r="F7" i="1"/>
  <c r="E7" i="1"/>
  <c r="F14" i="1"/>
  <c r="E14" i="1"/>
  <c r="F22" i="1"/>
  <c r="E22" i="1"/>
  <c r="F10" i="1"/>
  <c r="E10" i="1"/>
  <c r="F9" i="1"/>
  <c r="E9" i="1"/>
  <c r="F6" i="1"/>
  <c r="E6" i="1"/>
  <c r="F21" i="1"/>
  <c r="E21" i="1"/>
  <c r="F15" i="1"/>
  <c r="E15" i="1"/>
  <c r="F16" i="1"/>
  <c r="E16" i="1"/>
  <c r="F24" i="1"/>
  <c r="E24" i="1"/>
  <c r="F11" i="1"/>
  <c r="E11" i="1"/>
  <c r="F12" i="1"/>
  <c r="E12" i="1"/>
  <c r="F5" i="1"/>
  <c r="E5" i="1"/>
  <c r="F19" i="1"/>
  <c r="E19" i="1"/>
  <c r="F27" i="1"/>
  <c r="E27" i="1"/>
  <c r="F13" i="1"/>
  <c r="E13" i="1"/>
  <c r="F8" i="1"/>
  <c r="E8" i="1"/>
  <c r="F18" i="1"/>
  <c r="E18" i="1"/>
  <c r="F23" i="1"/>
  <c r="E23" i="1"/>
  <c r="F26" i="1"/>
  <c r="E26" i="1"/>
  <c r="F25" i="1"/>
  <c r="E25" i="1"/>
</calcChain>
</file>

<file path=xl/sharedStrings.xml><?xml version="1.0" encoding="utf-8"?>
<sst xmlns="http://schemas.openxmlformats.org/spreadsheetml/2006/main" count="173" uniqueCount="34">
  <si>
    <t>정류장수</t>
  </si>
  <si>
    <t>중랑구</t>
  </si>
  <si>
    <t>도봉구</t>
  </si>
  <si>
    <t>노원구</t>
  </si>
  <si>
    <t>성동구</t>
  </si>
  <si>
    <t>종로구</t>
  </si>
  <si>
    <t>중구</t>
  </si>
  <si>
    <t>광진구</t>
  </si>
  <si>
    <t>용산구</t>
  </si>
  <si>
    <t>성북구</t>
  </si>
  <si>
    <t>강북구</t>
  </si>
  <si>
    <t>강남구</t>
  </si>
  <si>
    <t>동작구</t>
  </si>
  <si>
    <t>양천구</t>
  </si>
  <si>
    <t>은평구</t>
  </si>
  <si>
    <t>마포구</t>
  </si>
  <si>
    <t>관악구</t>
  </si>
  <si>
    <t>강서구</t>
  </si>
  <si>
    <t>강동구</t>
  </si>
  <si>
    <t>구로구</t>
  </si>
  <si>
    <t>금천구</t>
  </si>
  <si>
    <t>서초구</t>
  </si>
  <si>
    <t>송파구</t>
  </si>
  <si>
    <t>구</t>
  </si>
  <si>
    <t>노선수</t>
  </si>
  <si>
    <t>인구밀도 (명/㎢)</t>
  </si>
  <si>
    <t>동대문구</t>
  </si>
  <si>
    <t>서대문구</t>
  </si>
  <si>
    <t>영등포구</t>
  </si>
  <si>
    <t>인구밀집도 대비 정류장수</t>
  </si>
  <si>
    <t>인구밀집도 대비 노선수</t>
  </si>
  <si>
    <t>전체인구밀도</t>
  </si>
  <si>
    <t>인구밀집도 대비 노선수</t>
    <phoneticPr fontId="2" type="noConversion"/>
  </si>
  <si>
    <t>인구밀집도 대비 정류장수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</si>
</sst>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0.000000000000_ "/>
    <numFmt numFmtId="177" formatCode="0.0000_);[Red]\(0.0000\)"/>
  </numFmts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DF2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176" fontId="0" fillId="2" borderId="0" xfId="0" applyNumberFormat="1" applyFill="1">
      <alignment vertical="center"/>
    </xf>
    <xf numFmtId="41" fontId="1" fillId="0" borderId="1" xfId="1" applyBorder="1">
      <alignment vertical="center"/>
    </xf>
    <xf numFmtId="41" fontId="1" fillId="2" borderId="1" xfId="1" applyFill="1" applyBorder="1">
      <alignment vertical="center"/>
    </xf>
    <xf numFmtId="0" fontId="0" fillId="3" borderId="0" xfId="0" applyFill="1">
      <alignment vertical="center"/>
    </xf>
    <xf numFmtId="41" fontId="1" fillId="3" borderId="1" xfId="1" applyFill="1" applyBorder="1">
      <alignment vertical="center"/>
    </xf>
    <xf numFmtId="176" fontId="0" fillId="3" borderId="0" xfId="0" applyNumberFormat="1" applyFill="1">
      <alignment vertical="center"/>
    </xf>
    <xf numFmtId="177" fontId="0" fillId="0" borderId="0" xfId="0" applyNumberFormat="1">
      <alignment vertical="center"/>
    </xf>
    <xf numFmtId="0" fontId="1" fillId="0" borderId="0" xfId="0" applyFont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600" b="0" i="0" u="none">
                <a:solidFill>
                  <a:sysClr val="windowText" lastClr="000000"/>
                </a:solidFill>
                <a:latin typeface="Calibri"/>
                <a:ea typeface="맑은 고딕"/>
                <a:cs typeface="맑은 고딕"/>
                <a:sym typeface="맑은 고딕"/>
              </a:defRPr>
            </a:pPr>
            <a:r>
              <a:rPr lang="ko-KR" altLang="en-US" sz="1600" b="0" i="0" u="none">
                <a:solidFill>
                  <a:sysClr val="windowText" lastClr="000000"/>
                </a:solidFill>
                <a:latin typeface="Calibri"/>
                <a:ea typeface="맑은 고딕"/>
                <a:cs typeface="맑은 고딕"/>
                <a:sym typeface="맑은 고딕"/>
              </a:rPr>
              <a:t>인구밀집도 대비 노선수</a:t>
            </a:r>
            <a:endParaRPr lang="ko-KR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인구밀집도대비노선수!$E$2</c:f>
              <c:strCache>
                <c:ptCount val="1"/>
                <c:pt idx="0">
                  <c:v>인구밀집도 대비 노선수</c:v>
                </c:pt>
              </c:strCache>
            </c:strRef>
          </c:tx>
          <c:invertIfNegative val="0"/>
          <c:cat>
            <c:strRef>
              <c:f>인구밀집도대비노선수!$A$3:$A$27</c:f>
              <c:strCache>
                <c:ptCount val="25"/>
                <c:pt idx="0">
                  <c:v>서초구</c:v>
                </c:pt>
                <c:pt idx="1">
                  <c:v>종로구</c:v>
                </c:pt>
                <c:pt idx="2">
                  <c:v>강남구</c:v>
                </c:pt>
                <c:pt idx="3">
                  <c:v>강서구</c:v>
                </c:pt>
                <c:pt idx="4">
                  <c:v>송파구</c:v>
                </c:pt>
                <c:pt idx="5">
                  <c:v>노원구</c:v>
                </c:pt>
                <c:pt idx="6">
                  <c:v>은평구</c:v>
                </c:pt>
                <c:pt idx="7">
                  <c:v>영등포구</c:v>
                </c:pt>
                <c:pt idx="8">
                  <c:v>용산구</c:v>
                </c:pt>
                <c:pt idx="9">
                  <c:v>마포구</c:v>
                </c:pt>
                <c:pt idx="10">
                  <c:v>서대문구</c:v>
                </c:pt>
                <c:pt idx="11">
                  <c:v>중구</c:v>
                </c:pt>
                <c:pt idx="12">
                  <c:v>중랑구</c:v>
                </c:pt>
                <c:pt idx="13">
                  <c:v>관악구</c:v>
                </c:pt>
                <c:pt idx="14">
                  <c:v>성북구</c:v>
                </c:pt>
                <c:pt idx="15">
                  <c:v>강북구</c:v>
                </c:pt>
                <c:pt idx="16">
                  <c:v>강동구</c:v>
                </c:pt>
                <c:pt idx="17">
                  <c:v>구로구</c:v>
                </c:pt>
                <c:pt idx="18">
                  <c:v>도봉구</c:v>
                </c:pt>
                <c:pt idx="19">
                  <c:v>양천구</c:v>
                </c:pt>
                <c:pt idx="20">
                  <c:v>동대문구</c:v>
                </c:pt>
                <c:pt idx="21">
                  <c:v>금천구</c:v>
                </c:pt>
                <c:pt idx="22">
                  <c:v>광진구</c:v>
                </c:pt>
                <c:pt idx="23">
                  <c:v>동작구</c:v>
                </c:pt>
                <c:pt idx="24">
                  <c:v>성동구</c:v>
                </c:pt>
              </c:strCache>
            </c:strRef>
          </c:cat>
          <c:val>
            <c:numRef>
              <c:f>인구밀집도대비노선수!$E$3:$E$27</c:f>
              <c:numCache>
                <c:formatCode>0.000000000000_ </c:formatCode>
                <c:ptCount val="25"/>
                <c:pt idx="0">
                  <c:v>0.29891984081864698</c:v>
                </c:pt>
                <c:pt idx="1">
                  <c:v>0.20108695652173914</c:v>
                </c:pt>
                <c:pt idx="2">
                  <c:v>0.18156953503050705</c:v>
                </c:pt>
                <c:pt idx="3">
                  <c:v>0.14458453144584532</c:v>
                </c:pt>
                <c:pt idx="4">
                  <c:v>0.13001961391555694</c:v>
                </c:pt>
                <c:pt idx="5">
                  <c:v>0.12498215560314062</c:v>
                </c:pt>
                <c:pt idx="6">
                  <c:v>0.11734661303709379</c:v>
                </c:pt>
                <c:pt idx="7">
                  <c:v>0.11126908573901217</c:v>
                </c:pt>
                <c:pt idx="8">
                  <c:v>0.10289971808296415</c:v>
                </c:pt>
                <c:pt idx="9">
                  <c:v>0.10053756559580188</c:v>
                </c:pt>
                <c:pt idx="10">
                  <c:v>9.5556908094948267E-2</c:v>
                </c:pt>
                <c:pt idx="11">
                  <c:v>9.2758463640504024E-2</c:v>
                </c:pt>
                <c:pt idx="12">
                  <c:v>8.486943164362519E-2</c:v>
                </c:pt>
                <c:pt idx="13">
                  <c:v>8.226941892375611E-2</c:v>
                </c:pt>
                <c:pt idx="14">
                  <c:v>7.5423728813559326E-2</c:v>
                </c:pt>
                <c:pt idx="15">
                  <c:v>7.5134605971610383E-2</c:v>
                </c:pt>
                <c:pt idx="16">
                  <c:v>6.7875383043922363E-2</c:v>
                </c:pt>
                <c:pt idx="17">
                  <c:v>6.4869089488081288E-2</c:v>
                </c:pt>
                <c:pt idx="18">
                  <c:v>6.1002766718402053E-2</c:v>
                </c:pt>
                <c:pt idx="19">
                  <c:v>5.7307738548471127E-2</c:v>
                </c:pt>
                <c:pt idx="20">
                  <c:v>5.6766827876000951E-2</c:v>
                </c:pt>
                <c:pt idx="21">
                  <c:v>4.9662382923110433E-2</c:v>
                </c:pt>
                <c:pt idx="22">
                  <c:v>4.7961630695443645E-2</c:v>
                </c:pt>
                <c:pt idx="23">
                  <c:v>4.3531498057760513E-2</c:v>
                </c:pt>
                <c:pt idx="24">
                  <c:v>4.0961549961131376E-2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E-431F-BDE8-BFABA6C92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743925"/>
        <c:axId val="46846591"/>
      </c:barChart>
      <c:catAx>
        <c:axId val="7807439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1200" b="0" i="0" u="none">
                <a:solidFill>
                  <a:sysClr val="windowText" lastClr="000000"/>
                </a:solidFill>
                <a:latin typeface="Calibri"/>
                <a:ea typeface="맑은 고딕"/>
                <a:cs typeface="맑은 고딕"/>
                <a:sym typeface="맑은 고딕"/>
              </a:defRPr>
            </a:pPr>
            <a:endParaRPr lang="ko-KR"/>
          </a:p>
        </c:txPr>
        <c:crossAx val="46846591"/>
        <c:crosses val="autoZero"/>
        <c:auto val="1"/>
        <c:lblAlgn val="ctr"/>
        <c:lblOffset val="100"/>
        <c:tickMarkSkip val="1"/>
        <c:noMultiLvlLbl val="0"/>
      </c:catAx>
      <c:valAx>
        <c:axId val="46846591"/>
        <c:scaling>
          <c:orientation val="minMax"/>
        </c:scaling>
        <c:delete val="1"/>
        <c:axPos val="l"/>
        <c:majorGridlines/>
        <c:numFmt formatCode="0.000000000000_ " sourceLinked="1"/>
        <c:majorTickMark val="out"/>
        <c:minorTickMark val="none"/>
        <c:tickLblPos val="nextTo"/>
        <c:crossAx val="780743925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0"/>
    <c:dispBlanksAs val="gap"/>
    <c:showDLblsOverMax val="1"/>
  </c:chart>
  <c:txPr>
    <a:bodyPr rot="0" vert="horz" wrap="none" lIns="0" tIns="0" rIns="0" bIns="0" anchor="ctr" anchorCtr="1"/>
    <a:lstStyle/>
    <a:p>
      <a:pPr algn="l">
        <a:defRPr sz="1000" b="0" i="0" u="none">
          <a:latin typeface="Calibri"/>
          <a:ea typeface="맑은 고딕"/>
          <a:cs typeface="맑은 고딕"/>
          <a:sym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0" styleIndex="0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 wrap="none" lIns="0" tIns="0" rIns="0" bIns="0" anchor="ctr" anchorCtr="1"/>
          <a:lstStyle/>
          <a:p>
            <a:pPr algn="l">
              <a:defRPr sz="1600" b="0" i="0" u="none">
                <a:solidFill>
                  <a:sysClr val="windowText" lastClr="000000"/>
                </a:solidFill>
                <a:latin typeface="Calibri"/>
                <a:ea typeface="맑은 고딕"/>
                <a:cs typeface="맑은 고딕"/>
                <a:sym typeface="맑은 고딕"/>
              </a:defRPr>
            </a:pPr>
            <a:r>
              <a:rPr lang="ko-KR" altLang="en-US" sz="1600" b="0" i="0" u="none">
                <a:solidFill>
                  <a:sysClr val="windowText" lastClr="000000"/>
                </a:solidFill>
                <a:latin typeface="Calibri"/>
                <a:ea typeface="맑은 고딕"/>
                <a:cs typeface="맑은 고딕"/>
                <a:sym typeface="맑은 고딕"/>
              </a:rPr>
              <a:t>인구밀집도 대비 노선수</a:t>
            </a:r>
            <a:endParaRPr lang="ko-KR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인구밀집도대비정류장수!$E$2</c:f>
              <c:strCache>
                <c:ptCount val="1"/>
                <c:pt idx="0">
                  <c:v>인구밀집도 대비 정류장수</c:v>
                </c:pt>
              </c:strCache>
            </c:strRef>
          </c:tx>
          <c:invertIfNegative val="0"/>
          <c:cat>
            <c:strRef>
              <c:f>인구밀집도대비정류장수!$A$3:$A$27</c:f>
              <c:strCache>
                <c:ptCount val="25"/>
                <c:pt idx="0">
                  <c:v>서초구</c:v>
                </c:pt>
                <c:pt idx="1">
                  <c:v>종로구</c:v>
                </c:pt>
                <c:pt idx="2">
                  <c:v>강남구</c:v>
                </c:pt>
                <c:pt idx="3">
                  <c:v>노원구</c:v>
                </c:pt>
                <c:pt idx="4">
                  <c:v>강서구</c:v>
                </c:pt>
                <c:pt idx="5">
                  <c:v>용산구</c:v>
                </c:pt>
                <c:pt idx="6">
                  <c:v>송파구</c:v>
                </c:pt>
                <c:pt idx="7">
                  <c:v>은평구</c:v>
                </c:pt>
                <c:pt idx="8">
                  <c:v>영등포구</c:v>
                </c:pt>
                <c:pt idx="9">
                  <c:v>중랑구</c:v>
                </c:pt>
                <c:pt idx="10">
                  <c:v>마포구</c:v>
                </c:pt>
                <c:pt idx="11">
                  <c:v>성북구</c:v>
                </c:pt>
                <c:pt idx="12">
                  <c:v>강북구</c:v>
                </c:pt>
                <c:pt idx="13">
                  <c:v>도봉구</c:v>
                </c:pt>
                <c:pt idx="14">
                  <c:v>관악구</c:v>
                </c:pt>
                <c:pt idx="15">
                  <c:v>강동구</c:v>
                </c:pt>
                <c:pt idx="16">
                  <c:v>중구</c:v>
                </c:pt>
                <c:pt idx="17">
                  <c:v>구로구</c:v>
                </c:pt>
                <c:pt idx="18">
                  <c:v>서대문구</c:v>
                </c:pt>
                <c:pt idx="19">
                  <c:v>성동구</c:v>
                </c:pt>
                <c:pt idx="20">
                  <c:v>양천구</c:v>
                </c:pt>
                <c:pt idx="21">
                  <c:v>동대문구</c:v>
                </c:pt>
                <c:pt idx="22">
                  <c:v>금천구</c:v>
                </c:pt>
                <c:pt idx="23">
                  <c:v>광진구</c:v>
                </c:pt>
                <c:pt idx="24">
                  <c:v>동작구</c:v>
                </c:pt>
              </c:strCache>
            </c:strRef>
          </c:cat>
          <c:val>
            <c:numRef>
              <c:f>인구밀집도대비정류장수!$E$3:$E$27</c:f>
              <c:numCache>
                <c:formatCode>General</c:formatCode>
                <c:ptCount val="25"/>
                <c:pt idx="0">
                  <c:v>3.6952814098919838E-2</c:v>
                </c:pt>
                <c:pt idx="1">
                  <c:v>3.0210997442455242E-2</c:v>
                </c:pt>
                <c:pt idx="2">
                  <c:v>2.9735605582439161E-2</c:v>
                </c:pt>
                <c:pt idx="3">
                  <c:v>2.7837259100642397E-2</c:v>
                </c:pt>
                <c:pt idx="4">
                  <c:v>2.4699550246995501E-2</c:v>
                </c:pt>
                <c:pt idx="5">
                  <c:v>2.3258155457108336E-2</c:v>
                </c:pt>
                <c:pt idx="6">
                  <c:v>2.2659234024981934E-2</c:v>
                </c:pt>
                <c:pt idx="7">
                  <c:v>2.0621847666475134E-2</c:v>
                </c:pt>
                <c:pt idx="8">
                  <c:v>1.7988502194473635E-2</c:v>
                </c:pt>
                <c:pt idx="9">
                  <c:v>1.7137096774193547E-2</c:v>
                </c:pt>
                <c:pt idx="10">
                  <c:v>1.6126967874056059E-2</c:v>
                </c:pt>
                <c:pt idx="11">
                  <c:v>1.5932203389830507E-2</c:v>
                </c:pt>
                <c:pt idx="12">
                  <c:v>1.5907978463044543E-2</c:v>
                </c:pt>
                <c:pt idx="13">
                  <c:v>1.5655577299412915E-2</c:v>
                </c:pt>
                <c:pt idx="14">
                  <c:v>1.5451616752177544E-2</c:v>
                </c:pt>
                <c:pt idx="15">
                  <c:v>1.5423901940755873E-2</c:v>
                </c:pt>
                <c:pt idx="16">
                  <c:v>1.2448762714437529E-2</c:v>
                </c:pt>
                <c:pt idx="17">
                  <c:v>1.2407190308714341E-2</c:v>
                </c:pt>
                <c:pt idx="18">
                  <c:v>1.1674874121617882E-2</c:v>
                </c:pt>
                <c:pt idx="19">
                  <c:v>1.1182204149973091E-2</c:v>
                </c:pt>
                <c:pt idx="20">
                  <c:v>1.0299362802067887E-2</c:v>
                </c:pt>
                <c:pt idx="21">
                  <c:v>1.0227543011178942E-2</c:v>
                </c:pt>
                <c:pt idx="22">
                  <c:v>9.1483336963624484E-3</c:v>
                </c:pt>
                <c:pt idx="23">
                  <c:v>8.5156364704155035E-3</c:v>
                </c:pt>
                <c:pt idx="24">
                  <c:v>5.9533862523222427E-3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56-4A83-BF9F-C646BD933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0743925"/>
        <c:axId val="46846591"/>
      </c:barChart>
      <c:catAx>
        <c:axId val="7807439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 wrap="none" lIns="0" tIns="0" rIns="0" bIns="0" anchor="ctr" anchorCtr="1"/>
          <a:lstStyle/>
          <a:p>
            <a:pPr algn="l">
              <a:defRPr sz="1200" b="0" i="0" u="none">
                <a:solidFill>
                  <a:sysClr val="windowText" lastClr="000000"/>
                </a:solidFill>
                <a:latin typeface="Calibri"/>
                <a:ea typeface="맑은 고딕"/>
                <a:cs typeface="맑은 고딕"/>
                <a:sym typeface="맑은 고딕"/>
              </a:defRPr>
            </a:pPr>
            <a:endParaRPr lang="ko-KR"/>
          </a:p>
        </c:txPr>
        <c:crossAx val="46846591"/>
        <c:crosses val="autoZero"/>
        <c:auto val="1"/>
        <c:lblAlgn val="ctr"/>
        <c:lblOffset val="100"/>
        <c:tickMarkSkip val="1"/>
        <c:noMultiLvlLbl val="0"/>
      </c:catAx>
      <c:valAx>
        <c:axId val="46846591"/>
        <c:scaling>
          <c:orientation val="minMax"/>
        </c:scaling>
        <c:delete val="1"/>
        <c:axPos val="l"/>
        <c:majorGridlines/>
        <c:numFmt formatCode="General" sourceLinked="1"/>
        <c:majorTickMark val="out"/>
        <c:minorTickMark val="none"/>
        <c:tickLblPos val="nextTo"/>
        <c:crossAx val="780743925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plotVisOnly val="0"/>
    <c:dispBlanksAs val="gap"/>
    <c:showDLblsOverMax val="1"/>
  </c:chart>
  <c:txPr>
    <a:bodyPr rot="0" vert="horz" wrap="none" lIns="0" tIns="0" rIns="0" bIns="0" anchor="ctr" anchorCtr="1"/>
    <a:lstStyle/>
    <a:p>
      <a:pPr algn="l">
        <a:defRPr sz="1000" b="0" i="0" u="none">
          <a:latin typeface="Calibri"/>
          <a:ea typeface="맑은 고딕"/>
          <a:cs typeface="맑은 고딕"/>
          <a:sym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0" styleIndex="0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 rot="0" vert="horz" wrap="none" lIns="0" tIns="0" rIns="0" bIns="0" anchor="ctr" anchorCtr="1"/>
        <a:lstStyle/>
        <a:p>
          <a:pPr algn="l">
            <a:defRPr b="0" i="0" u="none"/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</c:f>
              <c:strCache>
                <c:ptCount val="1"/>
                <c:pt idx="0">
                  <c:v>인구밀도 (명/㎢)</c:v>
                </c:pt>
              </c:strCache>
            </c:strRef>
          </c:tx>
          <c:invertIfNegative val="0"/>
          <c:cat>
            <c:strRef>
              <c:f>Sheet4!$A$2:$A$26</c:f>
              <c:strCache>
                <c:ptCount val="25"/>
                <c:pt idx="0">
                  <c:v>동대문구</c:v>
                </c:pt>
                <c:pt idx="1">
                  <c:v>양천구</c:v>
                </c:pt>
                <c:pt idx="2">
                  <c:v>동작구</c:v>
                </c:pt>
                <c:pt idx="3">
                  <c:v>중랑구</c:v>
                </c:pt>
                <c:pt idx="4">
                  <c:v>구로구</c:v>
                </c:pt>
                <c:pt idx="5">
                  <c:v>광진구</c:v>
                </c:pt>
                <c:pt idx="6">
                  <c:v>강동구</c:v>
                </c:pt>
                <c:pt idx="7">
                  <c:v>송파구</c:v>
                </c:pt>
                <c:pt idx="8">
                  <c:v>금천구</c:v>
                </c:pt>
                <c:pt idx="9">
                  <c:v>서대문구</c:v>
                </c:pt>
                <c:pt idx="10">
                  <c:v>성북구</c:v>
                </c:pt>
                <c:pt idx="11">
                  <c:v>관악구</c:v>
                </c:pt>
                <c:pt idx="12">
                  <c:v>성동구</c:v>
                </c:pt>
                <c:pt idx="13">
                  <c:v>영등포구</c:v>
                </c:pt>
                <c:pt idx="14">
                  <c:v>은평구</c:v>
                </c:pt>
                <c:pt idx="15">
                  <c:v>마포구</c:v>
                </c:pt>
                <c:pt idx="16">
                  <c:v>도봉구</c:v>
                </c:pt>
                <c:pt idx="17">
                  <c:v>강남구</c:v>
                </c:pt>
                <c:pt idx="18">
                  <c:v>노원구</c:v>
                </c:pt>
                <c:pt idx="19">
                  <c:v>강서구</c:v>
                </c:pt>
                <c:pt idx="20">
                  <c:v>중구</c:v>
                </c:pt>
                <c:pt idx="21">
                  <c:v>강북구</c:v>
                </c:pt>
                <c:pt idx="22">
                  <c:v>용산구</c:v>
                </c:pt>
                <c:pt idx="23">
                  <c:v>서초구</c:v>
                </c:pt>
                <c:pt idx="24">
                  <c:v>종로구</c:v>
                </c:pt>
              </c:strCache>
            </c:strRef>
          </c:cat>
          <c:val>
            <c:numRef>
              <c:f>Sheet4!$B$2:$B$26</c:f>
              <c:numCache>
                <c:formatCode>General</c:formatCode>
                <c:ptCount val="25"/>
                <c:pt idx="0">
                  <c:v>25226</c:v>
                </c:pt>
                <c:pt idx="1">
                  <c:v>24953</c:v>
                </c:pt>
                <c:pt idx="2">
                  <c:v>23684</c:v>
                </c:pt>
                <c:pt idx="3">
                  <c:v>20832</c:v>
                </c:pt>
                <c:pt idx="4">
                  <c:v>20472</c:v>
                </c:pt>
                <c:pt idx="5">
                  <c:v>20433</c:v>
                </c:pt>
                <c:pt idx="6">
                  <c:v>19580</c:v>
                </c:pt>
                <c:pt idx="7">
                  <c:v>19374</c:v>
                </c:pt>
                <c:pt idx="8">
                  <c:v>18364</c:v>
                </c:pt>
                <c:pt idx="9">
                  <c:v>18073</c:v>
                </c:pt>
                <c:pt idx="10">
                  <c:v>17700</c:v>
                </c:pt>
                <c:pt idx="11">
                  <c:v>16762</c:v>
                </c:pt>
                <c:pt idx="12">
                  <c:v>16723</c:v>
                </c:pt>
                <c:pt idx="13">
                  <c:v>16177</c:v>
                </c:pt>
                <c:pt idx="14">
                  <c:v>15663</c:v>
                </c:pt>
                <c:pt idx="15">
                  <c:v>15626</c:v>
                </c:pt>
                <c:pt idx="16">
                  <c:v>14819</c:v>
                </c:pt>
                <c:pt idx="17">
                  <c:v>14259</c:v>
                </c:pt>
                <c:pt idx="18">
                  <c:v>14010</c:v>
                </c:pt>
                <c:pt idx="19">
                  <c:v>13563</c:v>
                </c:pt>
                <c:pt idx="20">
                  <c:v>13174</c:v>
                </c:pt>
                <c:pt idx="21">
                  <c:v>12258</c:v>
                </c:pt>
                <c:pt idx="22">
                  <c:v>9932</c:v>
                </c:pt>
                <c:pt idx="23">
                  <c:v>8795</c:v>
                </c:pt>
                <c:pt idx="24">
                  <c:v>6256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7C-459F-BFE2-151EBEADE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4409020"/>
        <c:axId val="611117059"/>
      </c:barChart>
      <c:catAx>
        <c:axId val="6844090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11117059"/>
        <c:crosses val="autoZero"/>
        <c:auto val="1"/>
        <c:lblAlgn val="ctr"/>
        <c:lblOffset val="100"/>
        <c:tickMarkSkip val="1"/>
        <c:noMultiLvlLbl val="0"/>
      </c:catAx>
      <c:valAx>
        <c:axId val="61111705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4409020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legend>
      <c:legendPos val="r"/>
      <c:overlay val="0"/>
    </c:legend>
    <c:plotVisOnly val="0"/>
    <c:dispBlanksAs val="gap"/>
    <c:showDLblsOverMax val="1"/>
  </c:chart>
  <c:txPr>
    <a:bodyPr rot="0" vert="horz" wrap="none" lIns="0" tIns="0" rIns="0" bIns="0" anchor="ctr" anchorCtr="1"/>
    <a:lstStyle/>
    <a:p>
      <a:pPr algn="l">
        <a:defRPr sz="1000" b="0" i="0" u="none">
          <a:latin typeface="Calibri"/>
          <a:ea typeface="맑은 고딕"/>
          <a:cs typeface="맑은 고딕"/>
          <a:sym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0" styleIndex="0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 rot="0" vert="horz" wrap="none" lIns="0" tIns="0" rIns="0" bIns="0" anchor="ctr" anchorCtr="1"/>
        <a:lstStyle/>
        <a:p>
          <a:pPr algn="l">
            <a:defRPr b="0" i="0" u="none"/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Sheet4!$F$1</c:f>
              <c:strCache>
                <c:ptCount val="1"/>
                <c:pt idx="0">
                  <c:v>노선수</c:v>
                </c:pt>
              </c:strCache>
            </c:strRef>
          </c:tx>
          <c:invertIfNegative val="0"/>
          <c:cat>
            <c:strRef>
              <c:f>Sheet4!$E$2:$E$26</c:f>
              <c:strCache>
                <c:ptCount val="25"/>
                <c:pt idx="0">
                  <c:v>서초구</c:v>
                </c:pt>
                <c:pt idx="1">
                  <c:v>강남구</c:v>
                </c:pt>
                <c:pt idx="2">
                  <c:v>송파구</c:v>
                </c:pt>
                <c:pt idx="3">
                  <c:v>강서구</c:v>
                </c:pt>
                <c:pt idx="4">
                  <c:v>은평구</c:v>
                </c:pt>
                <c:pt idx="5">
                  <c:v>영등포구</c:v>
                </c:pt>
                <c:pt idx="6">
                  <c:v>중랑구</c:v>
                </c:pt>
                <c:pt idx="7">
                  <c:v>노원구</c:v>
                </c:pt>
                <c:pt idx="8">
                  <c:v>서대문구</c:v>
                </c:pt>
                <c:pt idx="9">
                  <c:v>마포구</c:v>
                </c:pt>
                <c:pt idx="10">
                  <c:v>동대문구</c:v>
                </c:pt>
                <c:pt idx="11">
                  <c:v>양천구</c:v>
                </c:pt>
                <c:pt idx="12">
                  <c:v>관악구</c:v>
                </c:pt>
                <c:pt idx="13">
                  <c:v>성북구</c:v>
                </c:pt>
                <c:pt idx="14">
                  <c:v>강동구</c:v>
                </c:pt>
                <c:pt idx="15">
                  <c:v>구로구</c:v>
                </c:pt>
                <c:pt idx="16">
                  <c:v>종로구</c:v>
                </c:pt>
                <c:pt idx="17">
                  <c:v>중구</c:v>
                </c:pt>
                <c:pt idx="18">
                  <c:v>동작구</c:v>
                </c:pt>
                <c:pt idx="19">
                  <c:v>용산구</c:v>
                </c:pt>
                <c:pt idx="20">
                  <c:v>광진구</c:v>
                </c:pt>
                <c:pt idx="21">
                  <c:v>강북구</c:v>
                </c:pt>
                <c:pt idx="22">
                  <c:v>금천구</c:v>
                </c:pt>
                <c:pt idx="23">
                  <c:v>도봉구</c:v>
                </c:pt>
                <c:pt idx="24">
                  <c:v>성동구</c:v>
                </c:pt>
              </c:strCache>
            </c:strRef>
          </c:cat>
          <c:val>
            <c:numRef>
              <c:f>Sheet4!$F$2:$F$26</c:f>
              <c:numCache>
                <c:formatCode>General</c:formatCode>
                <c:ptCount val="25"/>
                <c:pt idx="0">
                  <c:v>2629</c:v>
                </c:pt>
                <c:pt idx="1">
                  <c:v>2589</c:v>
                </c:pt>
                <c:pt idx="2">
                  <c:v>2519</c:v>
                </c:pt>
                <c:pt idx="3">
                  <c:v>1961</c:v>
                </c:pt>
                <c:pt idx="4">
                  <c:v>1838</c:v>
                </c:pt>
                <c:pt idx="5">
                  <c:v>1800</c:v>
                </c:pt>
                <c:pt idx="6">
                  <c:v>1768</c:v>
                </c:pt>
                <c:pt idx="7">
                  <c:v>1751</c:v>
                </c:pt>
                <c:pt idx="8">
                  <c:v>1727</c:v>
                </c:pt>
                <c:pt idx="9">
                  <c:v>1571</c:v>
                </c:pt>
                <c:pt idx="10">
                  <c:v>1432</c:v>
                </c:pt>
                <c:pt idx="11">
                  <c:v>1430</c:v>
                </c:pt>
                <c:pt idx="12">
                  <c:v>1379</c:v>
                </c:pt>
                <c:pt idx="13">
                  <c:v>1335</c:v>
                </c:pt>
                <c:pt idx="14">
                  <c:v>1329</c:v>
                </c:pt>
                <c:pt idx="15">
                  <c:v>1328</c:v>
                </c:pt>
                <c:pt idx="16">
                  <c:v>1258</c:v>
                </c:pt>
                <c:pt idx="17">
                  <c:v>1222</c:v>
                </c:pt>
                <c:pt idx="18">
                  <c:v>1031</c:v>
                </c:pt>
                <c:pt idx="19">
                  <c:v>1022</c:v>
                </c:pt>
                <c:pt idx="20">
                  <c:v>980</c:v>
                </c:pt>
                <c:pt idx="21">
                  <c:v>921</c:v>
                </c:pt>
                <c:pt idx="22">
                  <c:v>912</c:v>
                </c:pt>
                <c:pt idx="23">
                  <c:v>904</c:v>
                </c:pt>
                <c:pt idx="24">
                  <c:v>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B7-4B10-8680-7EBFB525B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8160319"/>
        <c:axId val="698073579"/>
      </c:barChart>
      <c:catAx>
        <c:axId val="68816031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98073579"/>
        <c:crosses val="autoZero"/>
        <c:auto val="1"/>
        <c:lblAlgn val="ctr"/>
        <c:lblOffset val="100"/>
        <c:tickMarkSkip val="1"/>
        <c:noMultiLvlLbl val="0"/>
      </c:catAx>
      <c:valAx>
        <c:axId val="69807357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88160319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legend>
      <c:legendPos val="r"/>
      <c:overlay val="0"/>
    </c:legend>
    <c:plotVisOnly val="0"/>
    <c:dispBlanksAs val="gap"/>
    <c:showDLblsOverMax val="1"/>
  </c:chart>
  <c:txPr>
    <a:bodyPr rot="0" vert="horz" wrap="none" lIns="0" tIns="0" rIns="0" bIns="0" anchor="ctr" anchorCtr="1"/>
    <a:lstStyle/>
    <a:p>
      <a:pPr algn="l">
        <a:defRPr sz="1000" b="0" i="0" u="none">
          <a:latin typeface="Calibri"/>
          <a:ea typeface="맑은 고딕"/>
          <a:cs typeface="맑은 고딕"/>
          <a:sym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0" styleIndex="0"/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 rot="0" vert="horz" wrap="none" lIns="0" tIns="0" rIns="0" bIns="0" anchor="ctr" anchorCtr="1"/>
        <a:lstStyle/>
        <a:p>
          <a:pPr algn="l">
            <a:defRPr b="0" i="0" u="none"/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Sheet4!$X$1</c:f>
              <c:strCache>
                <c:ptCount val="1"/>
                <c:pt idx="0">
                  <c:v>정류장수</c:v>
                </c:pt>
              </c:strCache>
            </c:strRef>
          </c:tx>
          <c:invertIfNegative val="0"/>
          <c:cat>
            <c:strRef>
              <c:f>Sheet4!$W$2:$W$26</c:f>
              <c:strCache>
                <c:ptCount val="25"/>
                <c:pt idx="0">
                  <c:v>송파구</c:v>
                </c:pt>
                <c:pt idx="1">
                  <c:v>강남구</c:v>
                </c:pt>
                <c:pt idx="2">
                  <c:v>노원구</c:v>
                </c:pt>
                <c:pt idx="3">
                  <c:v>중랑구</c:v>
                </c:pt>
                <c:pt idx="4">
                  <c:v>강서구</c:v>
                </c:pt>
                <c:pt idx="5">
                  <c:v>서초구</c:v>
                </c:pt>
                <c:pt idx="6">
                  <c:v>은평구</c:v>
                </c:pt>
                <c:pt idx="7">
                  <c:v>강동구</c:v>
                </c:pt>
                <c:pt idx="8">
                  <c:v>영등포구</c:v>
                </c:pt>
                <c:pt idx="9">
                  <c:v>성북구</c:v>
                </c:pt>
                <c:pt idx="10">
                  <c:v>관악구</c:v>
                </c:pt>
                <c:pt idx="11">
                  <c:v>동대문구</c:v>
                </c:pt>
                <c:pt idx="12">
                  <c:v>양천구</c:v>
                </c:pt>
                <c:pt idx="13">
                  <c:v>구로구</c:v>
                </c:pt>
                <c:pt idx="14">
                  <c:v>마포구</c:v>
                </c:pt>
                <c:pt idx="15">
                  <c:v>도봉구</c:v>
                </c:pt>
                <c:pt idx="16">
                  <c:v>용산구</c:v>
                </c:pt>
                <c:pt idx="17">
                  <c:v>서대문구</c:v>
                </c:pt>
                <c:pt idx="18">
                  <c:v>강북구</c:v>
                </c:pt>
                <c:pt idx="19">
                  <c:v>종로구</c:v>
                </c:pt>
                <c:pt idx="20">
                  <c:v>성동구</c:v>
                </c:pt>
                <c:pt idx="21">
                  <c:v>광진구</c:v>
                </c:pt>
                <c:pt idx="22">
                  <c:v>금천구</c:v>
                </c:pt>
                <c:pt idx="23">
                  <c:v>중구</c:v>
                </c:pt>
                <c:pt idx="24">
                  <c:v>동작구</c:v>
                </c:pt>
              </c:strCache>
            </c:strRef>
          </c:cat>
          <c:val>
            <c:numRef>
              <c:f>Sheet4!$X$2:$X$26</c:f>
              <c:numCache>
                <c:formatCode>_(* #,##0_);_(* \(#,##0\);_(* "-"_);_(@_)</c:formatCode>
                <c:ptCount val="25"/>
                <c:pt idx="0">
                  <c:v>439</c:v>
                </c:pt>
                <c:pt idx="1">
                  <c:v>424</c:v>
                </c:pt>
                <c:pt idx="2">
                  <c:v>390</c:v>
                </c:pt>
                <c:pt idx="3">
                  <c:v>357</c:v>
                </c:pt>
                <c:pt idx="4">
                  <c:v>335</c:v>
                </c:pt>
                <c:pt idx="5">
                  <c:v>325</c:v>
                </c:pt>
                <c:pt idx="6">
                  <c:v>323</c:v>
                </c:pt>
                <c:pt idx="7">
                  <c:v>302</c:v>
                </c:pt>
                <c:pt idx="8">
                  <c:v>291</c:v>
                </c:pt>
                <c:pt idx="9">
                  <c:v>282</c:v>
                </c:pt>
                <c:pt idx="10">
                  <c:v>259</c:v>
                </c:pt>
                <c:pt idx="11">
                  <c:v>258</c:v>
                </c:pt>
                <c:pt idx="12">
                  <c:v>257</c:v>
                </c:pt>
                <c:pt idx="13">
                  <c:v>254</c:v>
                </c:pt>
                <c:pt idx="14">
                  <c:v>252</c:v>
                </c:pt>
                <c:pt idx="15">
                  <c:v>232</c:v>
                </c:pt>
                <c:pt idx="16">
                  <c:v>231</c:v>
                </c:pt>
                <c:pt idx="17">
                  <c:v>211</c:v>
                </c:pt>
                <c:pt idx="18">
                  <c:v>195</c:v>
                </c:pt>
                <c:pt idx="19">
                  <c:v>189</c:v>
                </c:pt>
                <c:pt idx="20">
                  <c:v>187</c:v>
                </c:pt>
                <c:pt idx="21">
                  <c:v>174</c:v>
                </c:pt>
                <c:pt idx="22">
                  <c:v>168</c:v>
                </c:pt>
                <c:pt idx="23">
                  <c:v>164</c:v>
                </c:pt>
                <c:pt idx="2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7-4FF1-AC3A-4A5C1FB77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8727131"/>
        <c:axId val="667949991"/>
      </c:barChart>
      <c:catAx>
        <c:axId val="69872713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67949991"/>
        <c:crosses val="autoZero"/>
        <c:auto val="1"/>
        <c:lblAlgn val="ctr"/>
        <c:lblOffset val="100"/>
        <c:tickMarkSkip val="1"/>
        <c:noMultiLvlLbl val="0"/>
      </c:catAx>
      <c:valAx>
        <c:axId val="667949991"/>
        <c:scaling>
          <c:orientation val="minMax"/>
        </c:scaling>
        <c:delete val="0"/>
        <c:axPos val="l"/>
        <c:majorGridlines/>
        <c:numFmt formatCode="_(* #,##0_);_(* \(#,##0\);_(* &quot;-&quot;_);_(@_)" sourceLinked="1"/>
        <c:majorTickMark val="out"/>
        <c:minorTickMark val="none"/>
        <c:tickLblPos val="nextTo"/>
        <c:crossAx val="698727131"/>
        <c:crosses val="autoZero"/>
        <c:crossBetween val="between"/>
      </c:valAx>
      <c:spPr>
        <a:noFill/>
        <a:ln w="9525" cap="flat" cmpd="sng" algn="ctr">
          <a:noFill/>
          <a:prstDash val="solid"/>
          <a:round/>
          <a:headEnd w="med" len="med"/>
          <a:tailEnd w="med" len="med"/>
        </a:ln>
      </c:spPr>
    </c:plotArea>
    <c:legend>
      <c:legendPos val="r"/>
      <c:overlay val="0"/>
    </c:legend>
    <c:plotVisOnly val="0"/>
    <c:dispBlanksAs val="gap"/>
    <c:showDLblsOverMax val="1"/>
  </c:chart>
  <c:txPr>
    <a:bodyPr rot="0" vert="horz" wrap="none" lIns="0" tIns="0" rIns="0" bIns="0" anchor="ctr" anchorCtr="1"/>
    <a:lstStyle/>
    <a:p>
      <a:pPr algn="l">
        <a:defRPr sz="1000" b="0" i="0" u="none">
          <a:latin typeface="Calibri"/>
          <a:ea typeface="맑은 고딕"/>
          <a:cs typeface="맑은 고딕"/>
          <a:sym typeface="맑은 고딕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0" styleIndex="0"/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120650</xdr:colOff>
      <xdr:row>3</xdr:row>
      <xdr:rowOff>120650</xdr:rowOff>
    </xdr:from>
    <xdr:to>
      <xdr:col>22</xdr:col>
      <xdr:colOff>222249</xdr:colOff>
      <xdr:row>26</xdr:row>
      <xdr:rowOff>50800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89808</xdr:colOff>
      <xdr:row>3</xdr:row>
      <xdr:rowOff>182335</xdr:rowOff>
    </xdr:from>
    <xdr:to>
      <xdr:col>23</xdr:col>
      <xdr:colOff>192315</xdr:colOff>
      <xdr:row>26</xdr:row>
      <xdr:rowOff>112486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177800</xdr:colOff>
      <xdr:row>0</xdr:row>
      <xdr:rowOff>114300</xdr:rowOff>
    </xdr:from>
    <xdr:to>
      <xdr:col>20</xdr:col>
      <xdr:colOff>558800</xdr:colOff>
      <xdr:row>22</xdr:row>
      <xdr:rowOff>139700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177800</xdr:colOff>
      <xdr:row>23</xdr:row>
      <xdr:rowOff>12700</xdr:rowOff>
    </xdr:from>
    <xdr:to>
      <xdr:col>20</xdr:col>
      <xdr:colOff>558800</xdr:colOff>
      <xdr:row>45</xdr:row>
      <xdr:rowOff>38100</xdr:rowOff>
    </xdr:to>
    <xdr:graphicFrame macro="">
      <xdr:nvGraphicFramePr>
        <xdr:cNvPr id="3" name="차트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25400</xdr:colOff>
      <xdr:row>23</xdr:row>
      <xdr:rowOff>12700</xdr:rowOff>
    </xdr:from>
    <xdr:to>
      <xdr:col>34</xdr:col>
      <xdr:colOff>514350</xdr:colOff>
      <xdr:row>44</xdr:row>
      <xdr:rowOff>88900</xdr:rowOff>
    </xdr:to>
    <xdr:graphicFrame macro="">
      <xdr:nvGraphicFramePr>
        <xdr:cNvPr id="4" name="차트 4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F27"/>
  <sheetViews>
    <sheetView tabSelected="1" zoomScaleNormal="100" zoomScaleSheetLayoutView="75" workbookViewId="0">
      <selection activeCell="E7" sqref="E7"/>
    </sheetView>
  </sheetViews>
  <sheetFormatPr defaultColWidth="8.69921875" defaultRowHeight="17.399999999999999" x14ac:dyDescent="0.4"/>
  <cols>
    <col min="2" max="2" width="16.19921875" customWidth="1"/>
    <col min="3" max="3" width="8" customWidth="1"/>
    <col min="5" max="5" width="24.8984375" customWidth="1"/>
    <col min="6" max="6" width="22.59765625" customWidth="1"/>
  </cols>
  <sheetData>
    <row r="2" spans="1:6" x14ac:dyDescent="0.4">
      <c r="A2" t="s">
        <v>23</v>
      </c>
      <c r="B2" t="s">
        <v>25</v>
      </c>
      <c r="C2" t="s">
        <v>24</v>
      </c>
      <c r="D2" t="s">
        <v>0</v>
      </c>
      <c r="E2" s="10" t="s">
        <v>32</v>
      </c>
      <c r="F2" s="10" t="s">
        <v>33</v>
      </c>
    </row>
    <row r="3" spans="1:6" x14ac:dyDescent="0.4">
      <c r="A3" t="s">
        <v>11</v>
      </c>
      <c r="B3">
        <v>14259</v>
      </c>
      <c r="C3">
        <v>2589</v>
      </c>
      <c r="D3" s="4">
        <v>424</v>
      </c>
      <c r="E3" s="9">
        <f t="shared" ref="E3:E27" si="0">C3/B3</f>
        <v>0.18156953503050705</v>
      </c>
      <c r="F3" s="9">
        <f t="shared" ref="F3:F27" si="1">D3/B3</f>
        <v>2.9735605582439161E-2</v>
      </c>
    </row>
    <row r="4" spans="1:6" x14ac:dyDescent="0.4">
      <c r="A4" t="s">
        <v>18</v>
      </c>
      <c r="B4">
        <v>19580</v>
      </c>
      <c r="C4">
        <v>1329</v>
      </c>
      <c r="D4" s="4">
        <v>302</v>
      </c>
      <c r="E4" s="9">
        <f t="shared" si="0"/>
        <v>6.7875383043922363E-2</v>
      </c>
      <c r="F4" s="9">
        <f t="shared" si="1"/>
        <v>1.5423901940755873E-2</v>
      </c>
    </row>
    <row r="5" spans="1:6" x14ac:dyDescent="0.4">
      <c r="A5" t="s">
        <v>10</v>
      </c>
      <c r="B5">
        <v>12258</v>
      </c>
      <c r="C5">
        <v>921</v>
      </c>
      <c r="D5" s="4">
        <v>195</v>
      </c>
      <c r="E5" s="9">
        <f t="shared" si="0"/>
        <v>7.5134605971610383E-2</v>
      </c>
      <c r="F5" s="9">
        <f t="shared" si="1"/>
        <v>1.5907978463044543E-2</v>
      </c>
    </row>
    <row r="6" spans="1:6" x14ac:dyDescent="0.4">
      <c r="A6" t="s">
        <v>17</v>
      </c>
      <c r="B6">
        <v>13563</v>
      </c>
      <c r="C6">
        <v>1961</v>
      </c>
      <c r="D6" s="4">
        <v>335</v>
      </c>
      <c r="E6" s="9">
        <f t="shared" si="0"/>
        <v>0.14458453144584532</v>
      </c>
      <c r="F6" s="9">
        <f t="shared" si="1"/>
        <v>2.4699550246995501E-2</v>
      </c>
    </row>
    <row r="7" spans="1:6" x14ac:dyDescent="0.4">
      <c r="A7" t="s">
        <v>16</v>
      </c>
      <c r="B7">
        <v>16762</v>
      </c>
      <c r="C7">
        <v>1379</v>
      </c>
      <c r="D7" s="4">
        <v>259</v>
      </c>
      <c r="E7" s="9">
        <f t="shared" si="0"/>
        <v>8.226941892375611E-2</v>
      </c>
      <c r="F7" s="9">
        <f t="shared" si="1"/>
        <v>1.5451616752177544E-2</v>
      </c>
    </row>
    <row r="8" spans="1:6" x14ac:dyDescent="0.4">
      <c r="A8" t="s">
        <v>7</v>
      </c>
      <c r="B8">
        <v>20433</v>
      </c>
      <c r="C8">
        <v>980</v>
      </c>
      <c r="D8" s="4">
        <v>174</v>
      </c>
      <c r="E8" s="9">
        <f t="shared" si="0"/>
        <v>4.7961630695443645E-2</v>
      </c>
      <c r="F8" s="9">
        <f t="shared" si="1"/>
        <v>8.5156364704155035E-3</v>
      </c>
    </row>
    <row r="9" spans="1:6" x14ac:dyDescent="0.4">
      <c r="A9" t="s">
        <v>19</v>
      </c>
      <c r="B9">
        <v>20472</v>
      </c>
      <c r="C9">
        <v>1328</v>
      </c>
      <c r="D9" s="4">
        <v>254</v>
      </c>
      <c r="E9" s="9">
        <f t="shared" si="0"/>
        <v>6.4869089488081288E-2</v>
      </c>
      <c r="F9" s="9">
        <f t="shared" si="1"/>
        <v>1.2407190308714341E-2</v>
      </c>
    </row>
    <row r="10" spans="1:6" x14ac:dyDescent="0.4">
      <c r="A10" t="s">
        <v>20</v>
      </c>
      <c r="B10">
        <v>18364</v>
      </c>
      <c r="C10">
        <v>912</v>
      </c>
      <c r="D10" s="4">
        <v>168</v>
      </c>
      <c r="E10" s="9">
        <f t="shared" si="0"/>
        <v>4.9662382923110433E-2</v>
      </c>
      <c r="F10" s="9">
        <f t="shared" si="1"/>
        <v>9.1483336963624484E-3</v>
      </c>
    </row>
    <row r="11" spans="1:6" x14ac:dyDescent="0.4">
      <c r="A11" t="s">
        <v>3</v>
      </c>
      <c r="B11">
        <v>14010</v>
      </c>
      <c r="C11">
        <v>1751</v>
      </c>
      <c r="D11" s="4">
        <v>390</v>
      </c>
      <c r="E11" s="9">
        <f t="shared" si="0"/>
        <v>0.12498215560314062</v>
      </c>
      <c r="F11" s="9">
        <f t="shared" si="1"/>
        <v>2.7837259100642397E-2</v>
      </c>
    </row>
    <row r="12" spans="1:6" x14ac:dyDescent="0.4">
      <c r="A12" t="s">
        <v>2</v>
      </c>
      <c r="B12">
        <v>14819</v>
      </c>
      <c r="C12">
        <v>904</v>
      </c>
      <c r="D12" s="4">
        <v>232</v>
      </c>
      <c r="E12" s="9">
        <f t="shared" si="0"/>
        <v>6.1002766718402053E-2</v>
      </c>
      <c r="F12" s="9">
        <f t="shared" si="1"/>
        <v>1.5655577299412915E-2</v>
      </c>
    </row>
    <row r="13" spans="1:6" x14ac:dyDescent="0.4">
      <c r="A13" t="s">
        <v>26</v>
      </c>
      <c r="B13">
        <v>25226</v>
      </c>
      <c r="C13">
        <v>1432</v>
      </c>
      <c r="D13" s="4">
        <v>258</v>
      </c>
      <c r="E13" s="9">
        <f t="shared" si="0"/>
        <v>5.6766827876000951E-2</v>
      </c>
      <c r="F13" s="9">
        <f t="shared" si="1"/>
        <v>1.0227543011178942E-2</v>
      </c>
    </row>
    <row r="14" spans="1:6" x14ac:dyDescent="0.4">
      <c r="A14" t="s">
        <v>12</v>
      </c>
      <c r="B14">
        <v>23684</v>
      </c>
      <c r="C14">
        <v>1031</v>
      </c>
      <c r="D14" s="4">
        <v>141</v>
      </c>
      <c r="E14" s="9">
        <f t="shared" si="0"/>
        <v>4.3531498057760513E-2</v>
      </c>
      <c r="F14" s="9">
        <f t="shared" si="1"/>
        <v>5.9533862523222427E-3</v>
      </c>
    </row>
    <row r="15" spans="1:6" x14ac:dyDescent="0.4">
      <c r="A15" t="s">
        <v>15</v>
      </c>
      <c r="B15">
        <v>15626</v>
      </c>
      <c r="C15">
        <v>1571</v>
      </c>
      <c r="D15" s="4">
        <v>252</v>
      </c>
      <c r="E15" s="9">
        <f t="shared" si="0"/>
        <v>0.10053756559580188</v>
      </c>
      <c r="F15" s="9">
        <f t="shared" si="1"/>
        <v>1.6126967874056059E-2</v>
      </c>
    </row>
    <row r="16" spans="1:6" x14ac:dyDescent="0.4">
      <c r="A16" t="s">
        <v>27</v>
      </c>
      <c r="B16">
        <v>18073</v>
      </c>
      <c r="C16">
        <v>1727</v>
      </c>
      <c r="D16" s="4">
        <v>211</v>
      </c>
      <c r="E16" s="9">
        <f t="shared" si="0"/>
        <v>9.5556908094948267E-2</v>
      </c>
      <c r="F16" s="9">
        <f t="shared" si="1"/>
        <v>1.1674874121617882E-2</v>
      </c>
    </row>
    <row r="17" spans="1:6" x14ac:dyDescent="0.4">
      <c r="A17" t="s">
        <v>21</v>
      </c>
      <c r="B17">
        <v>8795</v>
      </c>
      <c r="C17">
        <v>2629</v>
      </c>
      <c r="D17" s="4">
        <v>325</v>
      </c>
      <c r="E17" s="9">
        <f t="shared" si="0"/>
        <v>0.29891984081864698</v>
      </c>
      <c r="F17" s="9">
        <f t="shared" si="1"/>
        <v>3.6952814098919838E-2</v>
      </c>
    </row>
    <row r="18" spans="1:6" x14ac:dyDescent="0.4">
      <c r="A18" t="s">
        <v>4</v>
      </c>
      <c r="B18">
        <v>16723</v>
      </c>
      <c r="C18">
        <v>685</v>
      </c>
      <c r="D18" s="4">
        <v>187</v>
      </c>
      <c r="E18" s="9">
        <f t="shared" si="0"/>
        <v>4.0961549961131376E-2</v>
      </c>
      <c r="F18" s="9">
        <f t="shared" si="1"/>
        <v>1.1182204149973091E-2</v>
      </c>
    </row>
    <row r="19" spans="1:6" x14ac:dyDescent="0.4">
      <c r="A19" t="s">
        <v>9</v>
      </c>
      <c r="B19">
        <v>17700</v>
      </c>
      <c r="C19">
        <v>1335</v>
      </c>
      <c r="D19" s="4">
        <v>282</v>
      </c>
      <c r="E19" s="9">
        <f t="shared" si="0"/>
        <v>7.5423728813559326E-2</v>
      </c>
      <c r="F19" s="9">
        <f t="shared" si="1"/>
        <v>1.5932203389830507E-2</v>
      </c>
    </row>
    <row r="20" spans="1:6" x14ac:dyDescent="0.4">
      <c r="A20" t="s">
        <v>22</v>
      </c>
      <c r="B20">
        <v>19374</v>
      </c>
      <c r="C20">
        <v>2519</v>
      </c>
      <c r="D20" s="4">
        <v>439</v>
      </c>
      <c r="E20" s="9">
        <f t="shared" si="0"/>
        <v>0.13001961391555694</v>
      </c>
      <c r="F20" s="9">
        <f t="shared" si="1"/>
        <v>2.2659234024981934E-2</v>
      </c>
    </row>
    <row r="21" spans="1:6" x14ac:dyDescent="0.4">
      <c r="A21" t="s">
        <v>13</v>
      </c>
      <c r="B21">
        <v>24953</v>
      </c>
      <c r="C21">
        <v>1430</v>
      </c>
      <c r="D21" s="4">
        <v>257</v>
      </c>
      <c r="E21" s="9">
        <f t="shared" si="0"/>
        <v>5.7307738548471127E-2</v>
      </c>
      <c r="F21" s="9">
        <f t="shared" si="1"/>
        <v>1.0299362802067887E-2</v>
      </c>
    </row>
    <row r="22" spans="1:6" x14ac:dyDescent="0.4">
      <c r="A22" t="s">
        <v>28</v>
      </c>
      <c r="B22">
        <v>16177</v>
      </c>
      <c r="C22">
        <v>1800</v>
      </c>
      <c r="D22" s="4">
        <v>291</v>
      </c>
      <c r="E22" s="9">
        <f t="shared" si="0"/>
        <v>0.11126908573901217</v>
      </c>
      <c r="F22" s="9">
        <f t="shared" si="1"/>
        <v>1.7988502194473635E-2</v>
      </c>
    </row>
    <row r="23" spans="1:6" x14ac:dyDescent="0.4">
      <c r="A23" t="s">
        <v>8</v>
      </c>
      <c r="B23">
        <v>9932</v>
      </c>
      <c r="C23">
        <v>1022</v>
      </c>
      <c r="D23" s="4">
        <v>231</v>
      </c>
      <c r="E23" s="9">
        <f t="shared" si="0"/>
        <v>0.10289971808296415</v>
      </c>
      <c r="F23" s="9">
        <f t="shared" si="1"/>
        <v>2.3258155457108336E-2</v>
      </c>
    </row>
    <row r="24" spans="1:6" x14ac:dyDescent="0.4">
      <c r="A24" t="s">
        <v>14</v>
      </c>
      <c r="B24">
        <v>15663</v>
      </c>
      <c r="C24">
        <v>1838</v>
      </c>
      <c r="D24" s="4">
        <v>323</v>
      </c>
      <c r="E24" s="9">
        <f t="shared" si="0"/>
        <v>0.11734661303709379</v>
      </c>
      <c r="F24" s="9">
        <f t="shared" si="1"/>
        <v>2.0621847666475134E-2</v>
      </c>
    </row>
    <row r="25" spans="1:6" x14ac:dyDescent="0.4">
      <c r="A25" t="s">
        <v>5</v>
      </c>
      <c r="B25">
        <v>6256</v>
      </c>
      <c r="C25">
        <v>1258</v>
      </c>
      <c r="D25" s="4">
        <v>189</v>
      </c>
      <c r="E25" s="9">
        <f t="shared" si="0"/>
        <v>0.20108695652173914</v>
      </c>
      <c r="F25" s="9">
        <f t="shared" si="1"/>
        <v>3.0210997442455242E-2</v>
      </c>
    </row>
    <row r="26" spans="1:6" x14ac:dyDescent="0.4">
      <c r="A26" t="s">
        <v>6</v>
      </c>
      <c r="B26">
        <v>13174</v>
      </c>
      <c r="C26">
        <v>1222</v>
      </c>
      <c r="D26" s="4">
        <v>164</v>
      </c>
      <c r="E26" s="9">
        <f t="shared" si="0"/>
        <v>9.2758463640504024E-2</v>
      </c>
      <c r="F26" s="9">
        <f t="shared" si="1"/>
        <v>1.2448762714437529E-2</v>
      </c>
    </row>
    <row r="27" spans="1:6" x14ac:dyDescent="0.4">
      <c r="A27" t="s">
        <v>1</v>
      </c>
      <c r="B27">
        <v>20832</v>
      </c>
      <c r="C27">
        <v>1768</v>
      </c>
      <c r="D27" s="4">
        <v>357</v>
      </c>
      <c r="E27" s="9">
        <f t="shared" si="0"/>
        <v>8.486943164362519E-2</v>
      </c>
      <c r="F27" s="9">
        <f t="shared" si="1"/>
        <v>1.7137096774193547E-2</v>
      </c>
    </row>
  </sheetData>
  <autoFilter ref="A2:F2" xr:uid="{00000000-0001-0000-0000-000000000000}">
    <sortState xmlns:xlrd2="http://schemas.microsoft.com/office/spreadsheetml/2017/richdata2" ref="A3:F27">
      <sortCondition ref="A2"/>
    </sortState>
  </autoFilter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2:I27"/>
  <sheetViews>
    <sheetView zoomScale="70" zoomScaleNormal="70" zoomScaleSheetLayoutView="75" workbookViewId="0">
      <selection activeCell="I32" sqref="I32"/>
    </sheetView>
  </sheetViews>
  <sheetFormatPr defaultColWidth="8.69921875" defaultRowHeight="17.399999999999999" x14ac:dyDescent="0.4"/>
  <cols>
    <col min="2" max="2" width="16.19921875" customWidth="1"/>
    <col min="3" max="3" width="8" customWidth="1"/>
    <col min="5" max="5" width="22" customWidth="1"/>
    <col min="9" max="9" width="8.69921875" bestFit="1" customWidth="1"/>
  </cols>
  <sheetData>
    <row r="2" spans="1:9" x14ac:dyDescent="0.4">
      <c r="A2" t="s">
        <v>23</v>
      </c>
      <c r="B2" t="s">
        <v>25</v>
      </c>
      <c r="C2" t="s">
        <v>24</v>
      </c>
      <c r="D2" t="s">
        <v>0</v>
      </c>
      <c r="E2" t="s">
        <v>30</v>
      </c>
      <c r="H2" t="s">
        <v>31</v>
      </c>
      <c r="I2">
        <v>15858</v>
      </c>
    </row>
    <row r="3" spans="1:9" x14ac:dyDescent="0.4">
      <c r="A3" s="2" t="s">
        <v>21</v>
      </c>
      <c r="B3" s="2">
        <v>8795</v>
      </c>
      <c r="C3" s="2">
        <v>2629</v>
      </c>
      <c r="D3" s="5">
        <v>325</v>
      </c>
      <c r="E3" s="3">
        <f t="shared" ref="E3:E27" si="0">C3/B3</f>
        <v>0.29891984081864698</v>
      </c>
    </row>
    <row r="4" spans="1:9" x14ac:dyDescent="0.4">
      <c r="A4" s="2" t="s">
        <v>5</v>
      </c>
      <c r="B4" s="2">
        <v>6256</v>
      </c>
      <c r="C4" s="2">
        <v>1258</v>
      </c>
      <c r="D4" s="5">
        <v>189</v>
      </c>
      <c r="E4" s="3">
        <f t="shared" si="0"/>
        <v>0.20108695652173914</v>
      </c>
    </row>
    <row r="5" spans="1:9" x14ac:dyDescent="0.4">
      <c r="A5" s="2" t="s">
        <v>11</v>
      </c>
      <c r="B5" s="2">
        <v>14259</v>
      </c>
      <c r="C5" s="2">
        <v>2589</v>
      </c>
      <c r="D5" s="5">
        <v>424</v>
      </c>
      <c r="E5" s="3">
        <f t="shared" si="0"/>
        <v>0.18156953503050705</v>
      </c>
    </row>
    <row r="6" spans="1:9" x14ac:dyDescent="0.4">
      <c r="A6" s="2" t="s">
        <v>17</v>
      </c>
      <c r="B6" s="2">
        <v>13563</v>
      </c>
      <c r="C6" s="2">
        <v>1961</v>
      </c>
      <c r="D6" s="5">
        <v>335</v>
      </c>
      <c r="E6" s="3">
        <f t="shared" si="0"/>
        <v>0.14458453144584532</v>
      </c>
    </row>
    <row r="7" spans="1:9" x14ac:dyDescent="0.4">
      <c r="A7" s="2" t="s">
        <v>22</v>
      </c>
      <c r="B7" s="2">
        <v>19374</v>
      </c>
      <c r="C7" s="2">
        <v>2519</v>
      </c>
      <c r="D7" s="5">
        <v>439</v>
      </c>
      <c r="E7" s="3">
        <f t="shared" si="0"/>
        <v>0.13001961391555694</v>
      </c>
    </row>
    <row r="8" spans="1:9" x14ac:dyDescent="0.4">
      <c r="A8" t="s">
        <v>3</v>
      </c>
      <c r="B8">
        <v>14010</v>
      </c>
      <c r="C8">
        <v>1751</v>
      </c>
      <c r="D8" s="4">
        <v>390</v>
      </c>
      <c r="E8" s="1">
        <f t="shared" si="0"/>
        <v>0.12498215560314062</v>
      </c>
    </row>
    <row r="9" spans="1:9" x14ac:dyDescent="0.4">
      <c r="A9" t="s">
        <v>14</v>
      </c>
      <c r="B9">
        <v>15663</v>
      </c>
      <c r="C9">
        <v>1838</v>
      </c>
      <c r="D9" s="4">
        <v>323</v>
      </c>
      <c r="E9" s="1">
        <f t="shared" si="0"/>
        <v>0.11734661303709379</v>
      </c>
    </row>
    <row r="10" spans="1:9" x14ac:dyDescent="0.4">
      <c r="A10" t="s">
        <v>28</v>
      </c>
      <c r="B10">
        <v>16177</v>
      </c>
      <c r="C10">
        <v>1800</v>
      </c>
      <c r="D10" s="4">
        <v>291</v>
      </c>
      <c r="E10" s="1">
        <f t="shared" si="0"/>
        <v>0.11126908573901217</v>
      </c>
    </row>
    <row r="11" spans="1:9" x14ac:dyDescent="0.4">
      <c r="A11" t="s">
        <v>8</v>
      </c>
      <c r="B11">
        <v>9932</v>
      </c>
      <c r="C11">
        <v>1022</v>
      </c>
      <c r="D11" s="4">
        <v>231</v>
      </c>
      <c r="E11" s="1">
        <f t="shared" si="0"/>
        <v>0.10289971808296415</v>
      </c>
    </row>
    <row r="12" spans="1:9" x14ac:dyDescent="0.4">
      <c r="A12" t="s">
        <v>15</v>
      </c>
      <c r="B12">
        <v>15626</v>
      </c>
      <c r="C12">
        <v>1571</v>
      </c>
      <c r="D12" s="4">
        <v>252</v>
      </c>
      <c r="E12" s="1">
        <f t="shared" si="0"/>
        <v>0.10053756559580188</v>
      </c>
    </row>
    <row r="13" spans="1:9" x14ac:dyDescent="0.4">
      <c r="A13" t="s">
        <v>27</v>
      </c>
      <c r="B13">
        <v>18073</v>
      </c>
      <c r="C13">
        <v>1727</v>
      </c>
      <c r="D13" s="4">
        <v>211</v>
      </c>
      <c r="E13" s="1">
        <f t="shared" si="0"/>
        <v>9.5556908094948267E-2</v>
      </c>
    </row>
    <row r="14" spans="1:9" x14ac:dyDescent="0.4">
      <c r="A14" t="s">
        <v>6</v>
      </c>
      <c r="B14">
        <v>13174</v>
      </c>
      <c r="C14">
        <v>1222</v>
      </c>
      <c r="D14" s="4">
        <v>164</v>
      </c>
      <c r="E14" s="1">
        <f t="shared" si="0"/>
        <v>9.2758463640504024E-2</v>
      </c>
    </row>
    <row r="15" spans="1:9" x14ac:dyDescent="0.4">
      <c r="A15" t="s">
        <v>1</v>
      </c>
      <c r="B15">
        <v>20832</v>
      </c>
      <c r="C15">
        <v>1768</v>
      </c>
      <c r="D15" s="4">
        <v>357</v>
      </c>
      <c r="E15" s="1">
        <f t="shared" si="0"/>
        <v>8.486943164362519E-2</v>
      </c>
    </row>
    <row r="16" spans="1:9" x14ac:dyDescent="0.4">
      <c r="A16" t="s">
        <v>16</v>
      </c>
      <c r="B16">
        <v>16762</v>
      </c>
      <c r="C16">
        <v>1379</v>
      </c>
      <c r="D16" s="4">
        <v>259</v>
      </c>
      <c r="E16" s="1">
        <f t="shared" si="0"/>
        <v>8.226941892375611E-2</v>
      </c>
    </row>
    <row r="17" spans="1:5" x14ac:dyDescent="0.4">
      <c r="A17" t="s">
        <v>9</v>
      </c>
      <c r="B17">
        <v>17700</v>
      </c>
      <c r="C17">
        <v>1335</v>
      </c>
      <c r="D17" s="4">
        <v>282</v>
      </c>
      <c r="E17" s="1">
        <f t="shared" si="0"/>
        <v>7.5423728813559326E-2</v>
      </c>
    </row>
    <row r="18" spans="1:5" x14ac:dyDescent="0.4">
      <c r="A18" t="s">
        <v>10</v>
      </c>
      <c r="B18">
        <v>12258</v>
      </c>
      <c r="C18">
        <v>921</v>
      </c>
      <c r="D18" s="4">
        <v>195</v>
      </c>
      <c r="E18" s="1">
        <f t="shared" si="0"/>
        <v>7.5134605971610383E-2</v>
      </c>
    </row>
    <row r="19" spans="1:5" x14ac:dyDescent="0.4">
      <c r="A19" t="s">
        <v>18</v>
      </c>
      <c r="B19">
        <v>19580</v>
      </c>
      <c r="C19">
        <v>1329</v>
      </c>
      <c r="D19" s="4">
        <v>302</v>
      </c>
      <c r="E19" s="1">
        <f t="shared" si="0"/>
        <v>6.7875383043922363E-2</v>
      </c>
    </row>
    <row r="20" spans="1:5" x14ac:dyDescent="0.4">
      <c r="A20" t="s">
        <v>19</v>
      </c>
      <c r="B20">
        <v>20472</v>
      </c>
      <c r="C20">
        <v>1328</v>
      </c>
      <c r="D20" s="4">
        <v>254</v>
      </c>
      <c r="E20" s="1">
        <f t="shared" si="0"/>
        <v>6.4869089488081288E-2</v>
      </c>
    </row>
    <row r="21" spans="1:5" x14ac:dyDescent="0.4">
      <c r="A21" t="s">
        <v>2</v>
      </c>
      <c r="B21">
        <v>14819</v>
      </c>
      <c r="C21">
        <v>904</v>
      </c>
      <c r="D21" s="4">
        <v>232</v>
      </c>
      <c r="E21" s="1">
        <f t="shared" si="0"/>
        <v>6.1002766718402053E-2</v>
      </c>
    </row>
    <row r="22" spans="1:5" x14ac:dyDescent="0.4">
      <c r="A22" t="s">
        <v>13</v>
      </c>
      <c r="B22">
        <v>24953</v>
      </c>
      <c r="C22">
        <v>1430</v>
      </c>
      <c r="D22" s="4">
        <v>257</v>
      </c>
      <c r="E22" s="1">
        <f t="shared" si="0"/>
        <v>5.7307738548471127E-2</v>
      </c>
    </row>
    <row r="23" spans="1:5" x14ac:dyDescent="0.4">
      <c r="A23" s="6" t="s">
        <v>26</v>
      </c>
      <c r="B23" s="6">
        <v>25226</v>
      </c>
      <c r="C23" s="6">
        <v>1432</v>
      </c>
      <c r="D23" s="7">
        <v>258</v>
      </c>
      <c r="E23" s="8">
        <f t="shared" si="0"/>
        <v>5.6766827876000951E-2</v>
      </c>
    </row>
    <row r="24" spans="1:5" x14ac:dyDescent="0.4">
      <c r="A24" s="6" t="s">
        <v>20</v>
      </c>
      <c r="B24" s="6">
        <v>18364</v>
      </c>
      <c r="C24" s="6">
        <v>912</v>
      </c>
      <c r="D24" s="7">
        <v>168</v>
      </c>
      <c r="E24" s="8">
        <f t="shared" si="0"/>
        <v>4.9662382923110433E-2</v>
      </c>
    </row>
    <row r="25" spans="1:5" x14ac:dyDescent="0.4">
      <c r="A25" s="6" t="s">
        <v>7</v>
      </c>
      <c r="B25" s="6">
        <v>20433</v>
      </c>
      <c r="C25" s="6">
        <v>980</v>
      </c>
      <c r="D25" s="7">
        <v>174</v>
      </c>
      <c r="E25" s="8">
        <f t="shared" si="0"/>
        <v>4.7961630695443645E-2</v>
      </c>
    </row>
    <row r="26" spans="1:5" x14ac:dyDescent="0.4">
      <c r="A26" s="6" t="s">
        <v>12</v>
      </c>
      <c r="B26" s="6">
        <v>23684</v>
      </c>
      <c r="C26" s="6">
        <v>1031</v>
      </c>
      <c r="D26" s="7">
        <v>141</v>
      </c>
      <c r="E26" s="8">
        <f t="shared" si="0"/>
        <v>4.3531498057760513E-2</v>
      </c>
    </row>
    <row r="27" spans="1:5" x14ac:dyDescent="0.4">
      <c r="A27" s="6" t="s">
        <v>4</v>
      </c>
      <c r="B27" s="6">
        <v>16723</v>
      </c>
      <c r="C27" s="6">
        <v>685</v>
      </c>
      <c r="D27" s="7">
        <v>187</v>
      </c>
      <c r="E27" s="8">
        <f t="shared" si="0"/>
        <v>4.0961549961131376E-2</v>
      </c>
    </row>
  </sheetData>
  <autoFilter ref="A2:E27" xr:uid="{00000000-0009-0000-0000-000001000000}">
    <sortState xmlns:xlrd2="http://schemas.microsoft.com/office/spreadsheetml/2017/richdata2" ref="A3:E27">
      <sortCondition descending="1" ref="E3:E27"/>
    </sortState>
  </autoFilter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2:E27"/>
  <sheetViews>
    <sheetView zoomScale="70" zoomScaleNormal="70" zoomScaleSheetLayoutView="75" workbookViewId="0">
      <selection activeCell="E31" sqref="E31"/>
    </sheetView>
  </sheetViews>
  <sheetFormatPr defaultColWidth="8.69921875" defaultRowHeight="17.399999999999999" x14ac:dyDescent="0.4"/>
  <cols>
    <col min="2" max="2" width="16.19921875" customWidth="1"/>
    <col min="3" max="3" width="8" customWidth="1"/>
    <col min="5" max="5" width="22.09765625" customWidth="1"/>
  </cols>
  <sheetData>
    <row r="2" spans="1:5" x14ac:dyDescent="0.4">
      <c r="A2" t="s">
        <v>23</v>
      </c>
      <c r="B2" t="s">
        <v>25</v>
      </c>
      <c r="C2" t="s">
        <v>24</v>
      </c>
      <c r="D2" t="s">
        <v>0</v>
      </c>
      <c r="E2" t="s">
        <v>29</v>
      </c>
    </row>
    <row r="3" spans="1:5" x14ac:dyDescent="0.4">
      <c r="A3" s="2" t="s">
        <v>21</v>
      </c>
      <c r="B3" s="2">
        <v>8795</v>
      </c>
      <c r="C3" s="2">
        <v>2629</v>
      </c>
      <c r="D3" s="5">
        <v>325</v>
      </c>
      <c r="E3" s="2">
        <f t="shared" ref="E3:E27" si="0">D3/B3</f>
        <v>3.6952814098919838E-2</v>
      </c>
    </row>
    <row r="4" spans="1:5" x14ac:dyDescent="0.4">
      <c r="A4" s="2" t="s">
        <v>5</v>
      </c>
      <c r="B4" s="2">
        <v>6256</v>
      </c>
      <c r="C4" s="2">
        <v>1258</v>
      </c>
      <c r="D4" s="5">
        <v>189</v>
      </c>
      <c r="E4" s="2">
        <f t="shared" si="0"/>
        <v>3.0210997442455242E-2</v>
      </c>
    </row>
    <row r="5" spans="1:5" x14ac:dyDescent="0.4">
      <c r="A5" s="2" t="s">
        <v>11</v>
      </c>
      <c r="B5" s="2">
        <v>14259</v>
      </c>
      <c r="C5" s="2">
        <v>2589</v>
      </c>
      <c r="D5" s="5">
        <v>424</v>
      </c>
      <c r="E5" s="2">
        <f t="shared" si="0"/>
        <v>2.9735605582439161E-2</v>
      </c>
    </row>
    <row r="6" spans="1:5" x14ac:dyDescent="0.4">
      <c r="A6" s="2" t="s">
        <v>3</v>
      </c>
      <c r="B6" s="2">
        <v>14010</v>
      </c>
      <c r="C6" s="2">
        <v>1751</v>
      </c>
      <c r="D6" s="5">
        <v>390</v>
      </c>
      <c r="E6" s="2">
        <f t="shared" si="0"/>
        <v>2.7837259100642397E-2</v>
      </c>
    </row>
    <row r="7" spans="1:5" x14ac:dyDescent="0.4">
      <c r="A7" s="2" t="s">
        <v>17</v>
      </c>
      <c r="B7" s="2">
        <v>13563</v>
      </c>
      <c r="C7" s="2">
        <v>1961</v>
      </c>
      <c r="D7" s="5">
        <v>335</v>
      </c>
      <c r="E7" s="2">
        <f t="shared" si="0"/>
        <v>2.4699550246995501E-2</v>
      </c>
    </row>
    <row r="8" spans="1:5" x14ac:dyDescent="0.4">
      <c r="A8" t="s">
        <v>8</v>
      </c>
      <c r="B8">
        <v>9932</v>
      </c>
      <c r="C8">
        <v>1022</v>
      </c>
      <c r="D8" s="4">
        <v>231</v>
      </c>
      <c r="E8">
        <f t="shared" si="0"/>
        <v>2.3258155457108336E-2</v>
      </c>
    </row>
    <row r="9" spans="1:5" x14ac:dyDescent="0.4">
      <c r="A9" t="s">
        <v>22</v>
      </c>
      <c r="B9">
        <v>19374</v>
      </c>
      <c r="C9">
        <v>2519</v>
      </c>
      <c r="D9" s="4">
        <v>439</v>
      </c>
      <c r="E9">
        <f t="shared" si="0"/>
        <v>2.2659234024981934E-2</v>
      </c>
    </row>
    <row r="10" spans="1:5" x14ac:dyDescent="0.4">
      <c r="A10" t="s">
        <v>14</v>
      </c>
      <c r="B10">
        <v>15663</v>
      </c>
      <c r="C10">
        <v>1838</v>
      </c>
      <c r="D10" s="4">
        <v>323</v>
      </c>
      <c r="E10">
        <f t="shared" si="0"/>
        <v>2.0621847666475134E-2</v>
      </c>
    </row>
    <row r="11" spans="1:5" x14ac:dyDescent="0.4">
      <c r="A11" t="s">
        <v>28</v>
      </c>
      <c r="B11">
        <v>16177</v>
      </c>
      <c r="C11">
        <v>1800</v>
      </c>
      <c r="D11" s="4">
        <v>291</v>
      </c>
      <c r="E11">
        <f t="shared" si="0"/>
        <v>1.7988502194473635E-2</v>
      </c>
    </row>
    <row r="12" spans="1:5" x14ac:dyDescent="0.4">
      <c r="A12" t="s">
        <v>1</v>
      </c>
      <c r="B12">
        <v>20832</v>
      </c>
      <c r="C12">
        <v>1768</v>
      </c>
      <c r="D12" s="4">
        <v>357</v>
      </c>
      <c r="E12">
        <f t="shared" si="0"/>
        <v>1.7137096774193547E-2</v>
      </c>
    </row>
    <row r="13" spans="1:5" x14ac:dyDescent="0.4">
      <c r="A13" t="s">
        <v>15</v>
      </c>
      <c r="B13">
        <v>15626</v>
      </c>
      <c r="C13">
        <v>1571</v>
      </c>
      <c r="D13" s="4">
        <v>252</v>
      </c>
      <c r="E13">
        <f t="shared" si="0"/>
        <v>1.6126967874056059E-2</v>
      </c>
    </row>
    <row r="14" spans="1:5" x14ac:dyDescent="0.4">
      <c r="A14" t="s">
        <v>9</v>
      </c>
      <c r="B14">
        <v>17700</v>
      </c>
      <c r="C14">
        <v>1335</v>
      </c>
      <c r="D14" s="4">
        <v>282</v>
      </c>
      <c r="E14">
        <f t="shared" si="0"/>
        <v>1.5932203389830507E-2</v>
      </c>
    </row>
    <row r="15" spans="1:5" x14ac:dyDescent="0.4">
      <c r="A15" t="s">
        <v>10</v>
      </c>
      <c r="B15">
        <v>12258</v>
      </c>
      <c r="C15">
        <v>921</v>
      </c>
      <c r="D15" s="4">
        <v>195</v>
      </c>
      <c r="E15">
        <f t="shared" si="0"/>
        <v>1.5907978463044543E-2</v>
      </c>
    </row>
    <row r="16" spans="1:5" x14ac:dyDescent="0.4">
      <c r="A16" t="s">
        <v>2</v>
      </c>
      <c r="B16">
        <v>14819</v>
      </c>
      <c r="C16">
        <v>904</v>
      </c>
      <c r="D16" s="4">
        <v>232</v>
      </c>
      <c r="E16">
        <f t="shared" si="0"/>
        <v>1.5655577299412915E-2</v>
      </c>
    </row>
    <row r="17" spans="1:5" x14ac:dyDescent="0.4">
      <c r="A17" t="s">
        <v>16</v>
      </c>
      <c r="B17">
        <v>16762</v>
      </c>
      <c r="C17">
        <v>1379</v>
      </c>
      <c r="D17" s="4">
        <v>259</v>
      </c>
      <c r="E17">
        <f t="shared" si="0"/>
        <v>1.5451616752177544E-2</v>
      </c>
    </row>
    <row r="18" spans="1:5" x14ac:dyDescent="0.4">
      <c r="A18" t="s">
        <v>18</v>
      </c>
      <c r="B18">
        <v>19580</v>
      </c>
      <c r="C18">
        <v>1329</v>
      </c>
      <c r="D18" s="4">
        <v>302</v>
      </c>
      <c r="E18">
        <f t="shared" si="0"/>
        <v>1.5423901940755873E-2</v>
      </c>
    </row>
    <row r="19" spans="1:5" x14ac:dyDescent="0.4">
      <c r="A19" t="s">
        <v>6</v>
      </c>
      <c r="B19">
        <v>13174</v>
      </c>
      <c r="C19">
        <v>1222</v>
      </c>
      <c r="D19" s="4">
        <v>164</v>
      </c>
      <c r="E19">
        <f t="shared" si="0"/>
        <v>1.2448762714437529E-2</v>
      </c>
    </row>
    <row r="20" spans="1:5" x14ac:dyDescent="0.4">
      <c r="A20" t="s">
        <v>19</v>
      </c>
      <c r="B20">
        <v>20472</v>
      </c>
      <c r="C20">
        <v>1328</v>
      </c>
      <c r="D20" s="4">
        <v>254</v>
      </c>
      <c r="E20">
        <f t="shared" si="0"/>
        <v>1.2407190308714341E-2</v>
      </c>
    </row>
    <row r="21" spans="1:5" x14ac:dyDescent="0.4">
      <c r="A21" t="s">
        <v>27</v>
      </c>
      <c r="B21">
        <v>18073</v>
      </c>
      <c r="C21">
        <v>1727</v>
      </c>
      <c r="D21" s="4">
        <v>211</v>
      </c>
      <c r="E21">
        <f t="shared" si="0"/>
        <v>1.1674874121617882E-2</v>
      </c>
    </row>
    <row r="22" spans="1:5" x14ac:dyDescent="0.4">
      <c r="A22" t="s">
        <v>4</v>
      </c>
      <c r="B22">
        <v>16723</v>
      </c>
      <c r="C22">
        <v>685</v>
      </c>
      <c r="D22" s="4">
        <v>187</v>
      </c>
      <c r="E22">
        <f t="shared" si="0"/>
        <v>1.1182204149973091E-2</v>
      </c>
    </row>
    <row r="23" spans="1:5" x14ac:dyDescent="0.4">
      <c r="A23" s="2" t="s">
        <v>13</v>
      </c>
      <c r="B23" s="2">
        <v>24953</v>
      </c>
      <c r="C23" s="2">
        <v>1430</v>
      </c>
      <c r="D23" s="5">
        <v>257</v>
      </c>
      <c r="E23" s="2">
        <f t="shared" si="0"/>
        <v>1.0299362802067887E-2</v>
      </c>
    </row>
    <row r="24" spans="1:5" x14ac:dyDescent="0.4">
      <c r="A24" s="2" t="s">
        <v>26</v>
      </c>
      <c r="B24" s="2">
        <v>25226</v>
      </c>
      <c r="C24" s="2">
        <v>1432</v>
      </c>
      <c r="D24" s="5">
        <v>258</v>
      </c>
      <c r="E24" s="2">
        <f t="shared" si="0"/>
        <v>1.0227543011178942E-2</v>
      </c>
    </row>
    <row r="25" spans="1:5" x14ac:dyDescent="0.4">
      <c r="A25" s="2" t="s">
        <v>20</v>
      </c>
      <c r="B25" s="2">
        <v>18364</v>
      </c>
      <c r="C25" s="2">
        <v>912</v>
      </c>
      <c r="D25" s="5">
        <v>168</v>
      </c>
      <c r="E25" s="2">
        <f t="shared" si="0"/>
        <v>9.1483336963624484E-3</v>
      </c>
    </row>
    <row r="26" spans="1:5" x14ac:dyDescent="0.4">
      <c r="A26" s="2" t="s">
        <v>7</v>
      </c>
      <c r="B26" s="2">
        <v>20433</v>
      </c>
      <c r="C26" s="2">
        <v>980</v>
      </c>
      <c r="D26" s="5">
        <v>174</v>
      </c>
      <c r="E26" s="2">
        <f t="shared" si="0"/>
        <v>8.5156364704155035E-3</v>
      </c>
    </row>
    <row r="27" spans="1:5" x14ac:dyDescent="0.4">
      <c r="A27" s="2" t="s">
        <v>12</v>
      </c>
      <c r="B27" s="2">
        <v>23684</v>
      </c>
      <c r="C27" s="2">
        <v>1031</v>
      </c>
      <c r="D27" s="5">
        <v>141</v>
      </c>
      <c r="E27" s="2">
        <f t="shared" si="0"/>
        <v>5.9533862523222427E-3</v>
      </c>
    </row>
  </sheetData>
  <autoFilter ref="A2:E27" xr:uid="{00000000-0009-0000-0000-000002000000}">
    <sortState xmlns:xlrd2="http://schemas.microsoft.com/office/spreadsheetml/2017/richdata2" ref="A3:E27">
      <sortCondition descending="1" ref="E3:E27"/>
    </sortState>
  </autoFilter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X26"/>
  <sheetViews>
    <sheetView zoomScale="70" zoomScaleNormal="70" zoomScaleSheetLayoutView="75" workbookViewId="0">
      <selection activeCell="AF45" sqref="AF45"/>
    </sheetView>
  </sheetViews>
  <sheetFormatPr defaultColWidth="8.69921875" defaultRowHeight="17.399999999999999" x14ac:dyDescent="0.4"/>
  <sheetData>
    <row r="1" spans="1:24" x14ac:dyDescent="0.4">
      <c r="A1" t="s">
        <v>23</v>
      </c>
      <c r="B1" t="s">
        <v>25</v>
      </c>
      <c r="E1" t="s">
        <v>23</v>
      </c>
      <c r="F1" t="s">
        <v>24</v>
      </c>
      <c r="W1" t="s">
        <v>23</v>
      </c>
      <c r="X1" t="s">
        <v>0</v>
      </c>
    </row>
    <row r="2" spans="1:24" x14ac:dyDescent="0.4">
      <c r="A2" s="2" t="s">
        <v>26</v>
      </c>
      <c r="B2" s="2">
        <v>25226</v>
      </c>
      <c r="C2" s="2"/>
      <c r="E2" s="2" t="s">
        <v>21</v>
      </c>
      <c r="F2" s="2">
        <v>2629</v>
      </c>
      <c r="W2" t="s">
        <v>22</v>
      </c>
      <c r="X2" s="4">
        <v>439</v>
      </c>
    </row>
    <row r="3" spans="1:24" x14ac:dyDescent="0.4">
      <c r="A3" s="2" t="s">
        <v>13</v>
      </c>
      <c r="B3" s="2">
        <v>24953</v>
      </c>
      <c r="C3" s="2"/>
      <c r="E3" s="2" t="s">
        <v>11</v>
      </c>
      <c r="F3" s="2">
        <v>2589</v>
      </c>
      <c r="W3" t="s">
        <v>11</v>
      </c>
      <c r="X3" s="4">
        <v>424</v>
      </c>
    </row>
    <row r="4" spans="1:24" x14ac:dyDescent="0.4">
      <c r="A4" s="2" t="s">
        <v>12</v>
      </c>
      <c r="B4" s="2">
        <v>23684</v>
      </c>
      <c r="C4" s="2"/>
      <c r="E4" t="s">
        <v>22</v>
      </c>
      <c r="F4">
        <v>2519</v>
      </c>
      <c r="W4" t="s">
        <v>3</v>
      </c>
      <c r="X4" s="4">
        <v>390</v>
      </c>
    </row>
    <row r="5" spans="1:24" x14ac:dyDescent="0.4">
      <c r="A5" t="s">
        <v>1</v>
      </c>
      <c r="B5">
        <v>20832</v>
      </c>
      <c r="E5" s="2" t="s">
        <v>17</v>
      </c>
      <c r="F5" s="2">
        <v>1961</v>
      </c>
      <c r="W5" t="s">
        <v>1</v>
      </c>
      <c r="X5" s="4">
        <v>357</v>
      </c>
    </row>
    <row r="6" spans="1:24" x14ac:dyDescent="0.4">
      <c r="A6" t="s">
        <v>19</v>
      </c>
      <c r="B6">
        <v>20472</v>
      </c>
      <c r="E6" t="s">
        <v>14</v>
      </c>
      <c r="F6">
        <v>1838</v>
      </c>
      <c r="W6" t="s">
        <v>17</v>
      </c>
      <c r="X6" s="4">
        <v>335</v>
      </c>
    </row>
    <row r="7" spans="1:24" x14ac:dyDescent="0.4">
      <c r="A7" s="2" t="s">
        <v>7</v>
      </c>
      <c r="B7" s="2">
        <v>20433</v>
      </c>
      <c r="C7" s="2"/>
      <c r="E7" t="s">
        <v>28</v>
      </c>
      <c r="F7">
        <v>1800</v>
      </c>
      <c r="W7" t="s">
        <v>21</v>
      </c>
      <c r="X7" s="4">
        <v>325</v>
      </c>
    </row>
    <row r="8" spans="1:24" x14ac:dyDescent="0.4">
      <c r="A8" t="s">
        <v>18</v>
      </c>
      <c r="B8">
        <v>19580</v>
      </c>
      <c r="E8" t="s">
        <v>1</v>
      </c>
      <c r="F8">
        <v>1768</v>
      </c>
      <c r="W8" t="s">
        <v>14</v>
      </c>
      <c r="X8" s="4">
        <v>323</v>
      </c>
    </row>
    <row r="9" spans="1:24" x14ac:dyDescent="0.4">
      <c r="A9" t="s">
        <v>22</v>
      </c>
      <c r="B9">
        <v>19374</v>
      </c>
      <c r="E9" s="2" t="s">
        <v>3</v>
      </c>
      <c r="F9" s="2">
        <v>1751</v>
      </c>
      <c r="W9" t="s">
        <v>18</v>
      </c>
      <c r="X9" s="4">
        <v>302</v>
      </c>
    </row>
    <row r="10" spans="1:24" x14ac:dyDescent="0.4">
      <c r="A10" s="2" t="s">
        <v>20</v>
      </c>
      <c r="B10" s="2">
        <v>18364</v>
      </c>
      <c r="C10" s="2"/>
      <c r="E10" t="s">
        <v>27</v>
      </c>
      <c r="F10">
        <v>1727</v>
      </c>
      <c r="W10" t="s">
        <v>28</v>
      </c>
      <c r="X10" s="4">
        <v>291</v>
      </c>
    </row>
    <row r="11" spans="1:24" x14ac:dyDescent="0.4">
      <c r="A11" t="s">
        <v>27</v>
      </c>
      <c r="B11">
        <v>18073</v>
      </c>
      <c r="E11" t="s">
        <v>15</v>
      </c>
      <c r="F11">
        <v>1571</v>
      </c>
      <c r="W11" t="s">
        <v>9</v>
      </c>
      <c r="X11" s="4">
        <v>282</v>
      </c>
    </row>
    <row r="12" spans="1:24" x14ac:dyDescent="0.4">
      <c r="A12" t="s">
        <v>9</v>
      </c>
      <c r="B12">
        <v>17700</v>
      </c>
      <c r="E12" s="2" t="s">
        <v>26</v>
      </c>
      <c r="F12" s="2">
        <v>1432</v>
      </c>
      <c r="W12" t="s">
        <v>16</v>
      </c>
      <c r="X12" s="4">
        <v>259</v>
      </c>
    </row>
    <row r="13" spans="1:24" x14ac:dyDescent="0.4">
      <c r="A13" t="s">
        <v>16</v>
      </c>
      <c r="B13">
        <v>16762</v>
      </c>
      <c r="E13" s="2" t="s">
        <v>13</v>
      </c>
      <c r="F13" s="2">
        <v>1430</v>
      </c>
      <c r="W13" t="s">
        <v>26</v>
      </c>
      <c r="X13" s="4">
        <v>258</v>
      </c>
    </row>
    <row r="14" spans="1:24" x14ac:dyDescent="0.4">
      <c r="A14" t="s">
        <v>4</v>
      </c>
      <c r="B14">
        <v>16723</v>
      </c>
      <c r="E14" t="s">
        <v>16</v>
      </c>
      <c r="F14">
        <v>1379</v>
      </c>
      <c r="W14" t="s">
        <v>13</v>
      </c>
      <c r="X14" s="4">
        <v>257</v>
      </c>
    </row>
    <row r="15" spans="1:24" x14ac:dyDescent="0.4">
      <c r="A15" t="s">
        <v>28</v>
      </c>
      <c r="B15">
        <v>16177</v>
      </c>
      <c r="E15" t="s">
        <v>9</v>
      </c>
      <c r="F15">
        <v>1335</v>
      </c>
      <c r="W15" t="s">
        <v>19</v>
      </c>
      <c r="X15" s="4">
        <v>254</v>
      </c>
    </row>
    <row r="16" spans="1:24" x14ac:dyDescent="0.4">
      <c r="A16" t="s">
        <v>14</v>
      </c>
      <c r="B16">
        <v>15663</v>
      </c>
      <c r="E16" t="s">
        <v>18</v>
      </c>
      <c r="F16">
        <v>1329</v>
      </c>
      <c r="W16" t="s">
        <v>15</v>
      </c>
      <c r="X16" s="4">
        <v>252</v>
      </c>
    </row>
    <row r="17" spans="1:24" x14ac:dyDescent="0.4">
      <c r="A17" t="s">
        <v>15</v>
      </c>
      <c r="B17">
        <v>15626</v>
      </c>
      <c r="E17" t="s">
        <v>19</v>
      </c>
      <c r="F17">
        <v>1328</v>
      </c>
      <c r="W17" t="s">
        <v>2</v>
      </c>
      <c r="X17" s="4">
        <v>232</v>
      </c>
    </row>
    <row r="18" spans="1:24" x14ac:dyDescent="0.4">
      <c r="A18" t="s">
        <v>2</v>
      </c>
      <c r="B18">
        <v>14819</v>
      </c>
      <c r="E18" s="2" t="s">
        <v>5</v>
      </c>
      <c r="F18" s="2">
        <v>1258</v>
      </c>
      <c r="W18" t="s">
        <v>8</v>
      </c>
      <c r="X18" s="4">
        <v>231</v>
      </c>
    </row>
    <row r="19" spans="1:24" x14ac:dyDescent="0.4">
      <c r="A19" s="2" t="s">
        <v>11</v>
      </c>
      <c r="B19" s="2">
        <v>14259</v>
      </c>
      <c r="C19" s="2"/>
      <c r="E19" t="s">
        <v>6</v>
      </c>
      <c r="F19">
        <v>1222</v>
      </c>
      <c r="W19" t="s">
        <v>27</v>
      </c>
      <c r="X19" s="4">
        <v>211</v>
      </c>
    </row>
    <row r="20" spans="1:24" x14ac:dyDescent="0.4">
      <c r="A20" s="2" t="s">
        <v>3</v>
      </c>
      <c r="B20" s="2">
        <v>14010</v>
      </c>
      <c r="C20" s="2"/>
      <c r="E20" s="2" t="s">
        <v>12</v>
      </c>
      <c r="F20" s="2">
        <v>1031</v>
      </c>
      <c r="W20" t="s">
        <v>10</v>
      </c>
      <c r="X20" s="4">
        <v>195</v>
      </c>
    </row>
    <row r="21" spans="1:24" x14ac:dyDescent="0.4">
      <c r="A21" s="2" t="s">
        <v>17</v>
      </c>
      <c r="B21" s="2">
        <v>13563</v>
      </c>
      <c r="C21" s="2"/>
      <c r="E21" t="s">
        <v>8</v>
      </c>
      <c r="F21">
        <v>1022</v>
      </c>
      <c r="W21" t="s">
        <v>5</v>
      </c>
      <c r="X21" s="4">
        <v>189</v>
      </c>
    </row>
    <row r="22" spans="1:24" x14ac:dyDescent="0.4">
      <c r="A22" t="s">
        <v>6</v>
      </c>
      <c r="B22">
        <v>13174</v>
      </c>
      <c r="E22" s="2" t="s">
        <v>7</v>
      </c>
      <c r="F22" s="2">
        <v>980</v>
      </c>
      <c r="W22" t="s">
        <v>4</v>
      </c>
      <c r="X22" s="4">
        <v>187</v>
      </c>
    </row>
    <row r="23" spans="1:24" x14ac:dyDescent="0.4">
      <c r="A23" t="s">
        <v>10</v>
      </c>
      <c r="B23">
        <v>12258</v>
      </c>
      <c r="E23" t="s">
        <v>10</v>
      </c>
      <c r="F23">
        <v>921</v>
      </c>
      <c r="W23" t="s">
        <v>7</v>
      </c>
      <c r="X23" s="4">
        <v>174</v>
      </c>
    </row>
    <row r="24" spans="1:24" x14ac:dyDescent="0.4">
      <c r="A24" t="s">
        <v>8</v>
      </c>
      <c r="B24">
        <v>9932</v>
      </c>
      <c r="E24" s="2" t="s">
        <v>20</v>
      </c>
      <c r="F24" s="2">
        <v>912</v>
      </c>
      <c r="W24" t="s">
        <v>20</v>
      </c>
      <c r="X24" s="4">
        <v>168</v>
      </c>
    </row>
    <row r="25" spans="1:24" x14ac:dyDescent="0.4">
      <c r="A25" s="2" t="s">
        <v>21</v>
      </c>
      <c r="B25" s="2">
        <v>8795</v>
      </c>
      <c r="C25" s="2"/>
      <c r="E25" t="s">
        <v>2</v>
      </c>
      <c r="F25">
        <v>904</v>
      </c>
      <c r="W25" t="s">
        <v>6</v>
      </c>
      <c r="X25" s="4">
        <v>164</v>
      </c>
    </row>
    <row r="26" spans="1:24" x14ac:dyDescent="0.4">
      <c r="A26" s="2" t="s">
        <v>5</v>
      </c>
      <c r="B26" s="2">
        <v>6256</v>
      </c>
      <c r="C26" s="2"/>
      <c r="E26" t="s">
        <v>4</v>
      </c>
      <c r="F26">
        <v>685</v>
      </c>
      <c r="W26" t="s">
        <v>12</v>
      </c>
      <c r="X26" s="4">
        <v>141</v>
      </c>
    </row>
  </sheetData>
  <autoFilter ref="W1:X26" xr:uid="{00000000-0009-0000-0000-000003000000}">
    <sortState xmlns:xlrd2="http://schemas.microsoft.com/office/spreadsheetml/2017/richdata2" ref="W2:X26">
      <sortCondition descending="1" ref="X2:X26"/>
    </sortState>
  </autoFilter>
  <phoneticPr fontId="2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209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기본데이터</vt:lpstr>
      <vt:lpstr>인구밀집도대비노선수</vt:lpstr>
      <vt:lpstr>인구밀집도대비정류장수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이윤정</dc:creator>
  <cp:lastModifiedBy>정 유빈</cp:lastModifiedBy>
  <cp:revision>6</cp:revision>
  <dcterms:created xsi:type="dcterms:W3CDTF">2025-05-16T01:46:14Z</dcterms:created>
  <dcterms:modified xsi:type="dcterms:W3CDTF">2025-05-28T02:20:24Z</dcterms:modified>
  <cp:version>1100.0100.01</cp:version>
</cp:coreProperties>
</file>